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\Desktop\Linkedin-Scraper\"/>
    </mc:Choice>
  </mc:AlternateContent>
  <xr:revisionPtr revIDLastSave="0" documentId="13_ncr:1_{2B20AFF2-7090-40E4-A8EC-C623A2BC0478}" xr6:coauthVersionLast="44" xr6:coauthVersionMax="44" xr10:uidLastSave="{00000000-0000-0000-0000-000000000000}"/>
  <bookViews>
    <workbookView xWindow="-120" yWindow="-120" windowWidth="20730" windowHeight="11160" firstSheet="1" activeTab="4" xr2:uid="{EF3BFE77-3C68-43F4-9F27-51D60D1853F2}"/>
  </bookViews>
  <sheets>
    <sheet name="19-05-2020 11-25" sheetId="4" r:id="rId1"/>
    <sheet name="20-05-2020 16-07" sheetId="8" r:id="rId2"/>
    <sheet name="21-05-2020" sheetId="9" r:id="rId3"/>
    <sheet name="21-05-2020 09-47" sheetId="10" r:id="rId4"/>
    <sheet name="SUMMARY" sheetId="1" r:id="rId5"/>
    <sheet name="List of Sheets" sheetId="3" state="hidden" r:id="rId6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5" i="1" l="1"/>
  <c r="N25" i="1"/>
  <c r="O25" i="1"/>
  <c r="Q25" i="1"/>
  <c r="K25" i="1"/>
  <c r="M25" i="1"/>
  <c r="L25" i="1"/>
  <c r="B5" i="3"/>
  <c r="B13" i="3"/>
  <c r="B21" i="3"/>
  <c r="B29" i="3"/>
  <c r="B6" i="3"/>
  <c r="B14" i="3"/>
  <c r="B22" i="3"/>
  <c r="B15" i="3"/>
  <c r="B23" i="3"/>
  <c r="B8" i="3"/>
  <c r="B24" i="3"/>
  <c r="B17" i="3"/>
  <c r="B11" i="3"/>
  <c r="B4" i="3"/>
  <c r="B28" i="3"/>
  <c r="B7" i="3"/>
  <c r="B16" i="3"/>
  <c r="B9" i="3"/>
  <c r="B25" i="3"/>
  <c r="B19" i="3"/>
  <c r="B12" i="3"/>
  <c r="B10" i="3"/>
  <c r="B18" i="3"/>
  <c r="B26" i="3"/>
  <c r="B3" i="3"/>
  <c r="B27" i="3"/>
  <c r="B20" i="3"/>
  <c r="B2" i="3"/>
  <c r="C44" i="1"/>
  <c r="D64" i="1"/>
  <c r="C58" i="1"/>
  <c r="C56" i="1"/>
  <c r="C3" i="1"/>
  <c r="D73" i="1"/>
  <c r="C67" i="1"/>
  <c r="E10" i="1"/>
  <c r="D40" i="1"/>
  <c r="D56" i="1"/>
  <c r="E8" i="1"/>
  <c r="C14" i="1"/>
  <c r="D24" i="1"/>
  <c r="C47" i="1"/>
  <c r="C65" i="1"/>
  <c r="D44" i="1"/>
  <c r="E78" i="1"/>
  <c r="D72" i="1"/>
  <c r="D61" i="1"/>
  <c r="C13" i="1"/>
  <c r="D15" i="1"/>
  <c r="C9" i="1"/>
  <c r="C76" i="1"/>
  <c r="E68" i="1"/>
  <c r="E11" i="1"/>
  <c r="D50" i="1"/>
  <c r="D51" i="1"/>
  <c r="E24" i="1"/>
  <c r="E43" i="1"/>
  <c r="D6" i="1"/>
  <c r="E20" i="1"/>
  <c r="C32" i="1"/>
  <c r="E14" i="1"/>
  <c r="C50" i="1"/>
  <c r="C35" i="1"/>
  <c r="C60" i="1"/>
  <c r="E32" i="1"/>
  <c r="E2" i="1"/>
  <c r="D41" i="1"/>
  <c r="E65" i="1"/>
  <c r="D23" i="1"/>
  <c r="E45" i="1"/>
  <c r="C7" i="1"/>
  <c r="C22" i="1"/>
  <c r="C25" i="1"/>
  <c r="E74" i="1"/>
  <c r="D34" i="1"/>
  <c r="E26" i="1"/>
  <c r="D7" i="1"/>
  <c r="C39" i="1"/>
  <c r="D60" i="1"/>
  <c r="C28" i="1"/>
  <c r="E46" i="1"/>
  <c r="D45" i="1"/>
  <c r="D70" i="1"/>
  <c r="C19" i="1"/>
  <c r="C61" i="1"/>
  <c r="E34" i="1"/>
  <c r="C42" i="1"/>
  <c r="D76" i="1"/>
  <c r="D26" i="1"/>
  <c r="D74" i="1"/>
  <c r="D43" i="1"/>
  <c r="D46" i="1"/>
  <c r="C27" i="1"/>
  <c r="C45" i="1"/>
  <c r="D35" i="1"/>
  <c r="C62" i="1"/>
  <c r="E44" i="1"/>
  <c r="D25" i="1"/>
  <c r="E50" i="1"/>
  <c r="C5" i="1"/>
  <c r="D57" i="1"/>
  <c r="D66" i="1"/>
  <c r="E9" i="1"/>
  <c r="E71" i="1"/>
  <c r="D38" i="1"/>
  <c r="E7" i="1"/>
  <c r="C43" i="1"/>
  <c r="D39" i="1"/>
  <c r="D8" i="1"/>
  <c r="C57" i="1"/>
  <c r="D31" i="1"/>
  <c r="E56" i="1"/>
  <c r="C10" i="1"/>
  <c r="C66" i="1"/>
  <c r="D54" i="1"/>
  <c r="C20" i="1"/>
  <c r="C36" i="1"/>
  <c r="C48" i="1"/>
  <c r="E59" i="1"/>
  <c r="D47" i="1"/>
  <c r="C72" i="1"/>
  <c r="C23" i="1"/>
  <c r="D16" i="1"/>
  <c r="E48" i="1"/>
  <c r="C31" i="1"/>
  <c r="E75" i="1"/>
  <c r="E38" i="1"/>
  <c r="E35" i="1"/>
  <c r="E72" i="1"/>
  <c r="E33" i="1"/>
  <c r="D5" i="1"/>
  <c r="E23" i="1"/>
  <c r="D9" i="1"/>
  <c r="E37" i="1"/>
  <c r="E47" i="1"/>
  <c r="D48" i="1"/>
  <c r="D33" i="1"/>
  <c r="C68" i="1"/>
  <c r="C52" i="1"/>
  <c r="C74" i="1"/>
  <c r="C49" i="1"/>
  <c r="D77" i="1"/>
  <c r="E36" i="1"/>
  <c r="E4" i="1"/>
  <c r="D10" i="1"/>
  <c r="C12" i="1"/>
  <c r="C71" i="1"/>
  <c r="C8" i="1"/>
  <c r="E29" i="1"/>
  <c r="E5" i="1"/>
  <c r="E67" i="1"/>
  <c r="D65" i="1"/>
  <c r="D18" i="1"/>
  <c r="E53" i="1"/>
  <c r="E49" i="1"/>
  <c r="D13" i="1"/>
  <c r="C4" i="1"/>
  <c r="E15" i="1"/>
  <c r="E3" i="1"/>
  <c r="E13" i="1"/>
  <c r="D20" i="1"/>
  <c r="E30" i="1"/>
  <c r="C40" i="1"/>
  <c r="D3" i="1"/>
  <c r="C54" i="1"/>
  <c r="D63" i="1"/>
  <c r="C41" i="1"/>
  <c r="E60" i="1"/>
  <c r="E76" i="1"/>
  <c r="E63" i="1"/>
  <c r="C34" i="1"/>
  <c r="E51" i="1"/>
  <c r="C51" i="1"/>
  <c r="D12" i="1"/>
  <c r="D22" i="1"/>
  <c r="E28" i="1"/>
  <c r="D78" i="1"/>
  <c r="E58" i="1"/>
  <c r="E16" i="1"/>
  <c r="D58" i="1"/>
  <c r="E40" i="1"/>
  <c r="C16" i="1"/>
  <c r="D21" i="1"/>
  <c r="C30" i="1"/>
  <c r="C17" i="1"/>
  <c r="D75" i="1"/>
  <c r="E66" i="1"/>
  <c r="C55" i="1"/>
  <c r="C6" i="1"/>
  <c r="E54" i="1"/>
  <c r="D67" i="1"/>
  <c r="C53" i="1"/>
  <c r="E17" i="1"/>
  <c r="C75" i="1"/>
  <c r="E61" i="1"/>
  <c r="D4" i="1"/>
  <c r="D36" i="1"/>
  <c r="C70" i="1"/>
  <c r="E21" i="1"/>
  <c r="E62" i="1"/>
  <c r="D71" i="1"/>
  <c r="E77" i="1"/>
  <c r="C24" i="1"/>
  <c r="E64" i="1"/>
  <c r="E55" i="1"/>
  <c r="C18" i="1"/>
  <c r="C37" i="1"/>
  <c r="D29" i="1"/>
  <c r="E69" i="1"/>
  <c r="D62" i="1"/>
  <c r="E27" i="1"/>
  <c r="E42" i="1"/>
  <c r="C59" i="1"/>
  <c r="C2" i="1"/>
  <c r="E70" i="1"/>
  <c r="E22" i="1"/>
  <c r="D30" i="1"/>
  <c r="D37" i="1"/>
  <c r="E57" i="1"/>
  <c r="C33" i="1"/>
  <c r="D14" i="1"/>
  <c r="C15" i="1"/>
  <c r="E25" i="1"/>
  <c r="D28" i="1"/>
  <c r="C69" i="1"/>
  <c r="D49" i="1"/>
  <c r="C77" i="1"/>
  <c r="E73" i="1"/>
  <c r="D52" i="1"/>
  <c r="D11" i="1"/>
  <c r="C64" i="1"/>
  <c r="D53" i="1"/>
  <c r="D59" i="1"/>
  <c r="E52" i="1"/>
  <c r="D68" i="1"/>
  <c r="E39" i="1"/>
  <c r="D17" i="1"/>
  <c r="E31" i="1"/>
  <c r="D55" i="1"/>
  <c r="E12" i="1"/>
  <c r="D42" i="1"/>
  <c r="E6" i="1"/>
  <c r="C73" i="1"/>
  <c r="C26" i="1"/>
  <c r="C29" i="1"/>
  <c r="D69" i="1"/>
  <c r="E41" i="1"/>
  <c r="C38" i="1"/>
  <c r="C78" i="1"/>
  <c r="E19" i="1"/>
  <c r="C11" i="1"/>
  <c r="C21" i="1"/>
  <c r="D27" i="1"/>
  <c r="C46" i="1"/>
  <c r="E18" i="1"/>
  <c r="C63" i="1"/>
  <c r="D19" i="1"/>
  <c r="D32" i="1"/>
  <c r="D2" i="1"/>
  <c r="J18" i="1" l="1"/>
  <c r="K18" i="1" s="1"/>
  <c r="J19" i="1"/>
  <c r="K19" i="1" s="1"/>
  <c r="J17" i="1"/>
  <c r="K17" i="1" s="1"/>
  <c r="J11" i="1"/>
  <c r="J10" i="1"/>
  <c r="J9" i="1"/>
  <c r="F11" i="1"/>
  <c r="F34" i="1"/>
  <c r="F13" i="1"/>
  <c r="F30" i="1"/>
  <c r="F17" i="1"/>
  <c r="F58" i="1"/>
  <c r="F73" i="1"/>
  <c r="F33" i="1"/>
  <c r="F38" i="1"/>
  <c r="F4" i="1"/>
  <c r="F32" i="1"/>
  <c r="F62" i="1"/>
  <c r="F16" i="1"/>
  <c r="F60" i="1"/>
  <c r="F9" i="1"/>
  <c r="F7" i="1"/>
  <c r="F72" i="1"/>
  <c r="F25" i="1"/>
  <c r="F22" i="1"/>
  <c r="F70" i="1"/>
  <c r="F46" i="1"/>
  <c r="F37" i="1"/>
  <c r="F40" i="1"/>
  <c r="F48" i="1"/>
  <c r="F14" i="1"/>
  <c r="F26" i="1"/>
  <c r="F21" i="1"/>
  <c r="F5" i="1"/>
  <c r="F20" i="1"/>
  <c r="F57" i="1"/>
  <c r="F27" i="1"/>
  <c r="F71" i="1"/>
  <c r="F6" i="1"/>
  <c r="F12" i="1"/>
  <c r="F18" i="1"/>
  <c r="F45" i="1"/>
  <c r="F74" i="1"/>
  <c r="F51" i="1"/>
  <c r="F8" i="1"/>
  <c r="F3" i="1"/>
  <c r="F68" i="1"/>
  <c r="F24" i="1"/>
  <c r="F41" i="1"/>
  <c r="F47" i="1"/>
  <c r="F39" i="1"/>
  <c r="F55" i="1"/>
  <c r="F28" i="1"/>
  <c r="F43" i="1"/>
  <c r="F36" i="1"/>
  <c r="F65" i="1"/>
  <c r="F10" i="1"/>
  <c r="F35" i="1"/>
  <c r="F66" i="1"/>
  <c r="F19" i="1"/>
  <c r="F59" i="1"/>
  <c r="F31" i="1"/>
  <c r="F52" i="1"/>
  <c r="F67" i="1"/>
  <c r="F64" i="1"/>
  <c r="F15" i="1"/>
  <c r="F63" i="1"/>
  <c r="F49" i="1"/>
  <c r="F56" i="1"/>
  <c r="F44" i="1"/>
  <c r="F54" i="1"/>
  <c r="F75" i="1"/>
  <c r="F78" i="1"/>
  <c r="F76" i="1"/>
  <c r="F23" i="1"/>
  <c r="F29" i="1"/>
  <c r="F77" i="1"/>
  <c r="F69" i="1"/>
  <c r="F53" i="1"/>
  <c r="F50" i="1"/>
  <c r="F61" i="1"/>
  <c r="F42" i="1"/>
  <c r="F2" i="1"/>
  <c r="J16" i="1" l="1"/>
  <c r="K16" i="1" s="1"/>
  <c r="J8" i="1"/>
</calcChain>
</file>

<file path=xl/sharedStrings.xml><?xml version="1.0" encoding="utf-8"?>
<sst xmlns="http://schemas.openxmlformats.org/spreadsheetml/2006/main" count="1637" uniqueCount="131">
  <si>
    <t>Name</t>
  </si>
  <si>
    <t>Action</t>
  </si>
  <si>
    <t>Time</t>
  </si>
  <si>
    <t>Steve Brown</t>
  </si>
  <si>
    <t>Like</t>
  </si>
  <si>
    <t>3 days</t>
  </si>
  <si>
    <t>Gareth Huckle</t>
  </si>
  <si>
    <t>Comment</t>
  </si>
  <si>
    <t>6 days</t>
  </si>
  <si>
    <t>Allen Makamure</t>
  </si>
  <si>
    <t>Tom Algie</t>
  </si>
  <si>
    <t>1 days</t>
  </si>
  <si>
    <t>Donald Gardner</t>
  </si>
  <si>
    <t>No Data</t>
  </si>
  <si>
    <t>Oliver Keys</t>
  </si>
  <si>
    <t>Cheryl Gardner</t>
  </si>
  <si>
    <t>Lilian Moiane</t>
  </si>
  <si>
    <t>Wilhelm Schultz</t>
  </si>
  <si>
    <t>Shared</t>
  </si>
  <si>
    <t>5 days</t>
  </si>
  <si>
    <t>Keethan Kander</t>
  </si>
  <si>
    <t>Ziningi Khorombi</t>
  </si>
  <si>
    <t>Tavia Bartlett</t>
  </si>
  <si>
    <t>Helen Hill</t>
  </si>
  <si>
    <t>Christine Janse van Rensburg</t>
  </si>
  <si>
    <t>Geoffrey Kilpin</t>
  </si>
  <si>
    <t>Palesa Seheri</t>
  </si>
  <si>
    <t>Alastair Muller</t>
  </si>
  <si>
    <t>Dawn Mapham</t>
  </si>
  <si>
    <t>Mark Evans</t>
  </si>
  <si>
    <t>Tshepo Moloto</t>
  </si>
  <si>
    <t>Riaan Hugo</t>
  </si>
  <si>
    <t>Carmen Prozesky</t>
  </si>
  <si>
    <t>Akilan Naidoo</t>
  </si>
  <si>
    <t>Katherine Murray</t>
  </si>
  <si>
    <t>Gideon Jacobs</t>
  </si>
  <si>
    <t>Matthew Heyns</t>
  </si>
  <si>
    <t>Nicolene Addinall</t>
  </si>
  <si>
    <t>Conrad Vermaak</t>
  </si>
  <si>
    <t>4 days</t>
  </si>
  <si>
    <t>Alexandra Phillips</t>
  </si>
  <si>
    <t>Lawrence Nyengerai</t>
  </si>
  <si>
    <t>No LinkedIn</t>
  </si>
  <si>
    <t>Navalin Govender</t>
  </si>
  <si>
    <t>Alastair Ramlakan</t>
  </si>
  <si>
    <t>Christian Engelbrecht</t>
  </si>
  <si>
    <t>Matti Karinen</t>
  </si>
  <si>
    <t>Kgomotso Mokone</t>
  </si>
  <si>
    <t>Cameron Collum</t>
  </si>
  <si>
    <t>Andrew Hickson</t>
  </si>
  <si>
    <t>Rory Atteridge</t>
  </si>
  <si>
    <t>Hylton Crous</t>
  </si>
  <si>
    <t>Cassandra Wright</t>
  </si>
  <si>
    <t>Rebecca Badrodin</t>
  </si>
  <si>
    <t>Zaahir Mukadam</t>
  </si>
  <si>
    <t>Gareth Elfick</t>
  </si>
  <si>
    <t>Nathan Rafferty</t>
  </si>
  <si>
    <t>Allison Chothia</t>
  </si>
  <si>
    <t>David Tannahill</t>
  </si>
  <si>
    <t>Kathleen Goosen</t>
  </si>
  <si>
    <t>Johan Diamond</t>
  </si>
  <si>
    <t>David Smith</t>
  </si>
  <si>
    <t>David Slade</t>
  </si>
  <si>
    <t>Ashleigh Truran</t>
  </si>
  <si>
    <t>Khanyisiwe Dikile</t>
  </si>
  <si>
    <t>Duncan MacGregor</t>
  </si>
  <si>
    <t>Wynand Smit</t>
  </si>
  <si>
    <t>Morkel Erasmus</t>
  </si>
  <si>
    <t>Nielsen Mafukidze</t>
  </si>
  <si>
    <t>Russell Varty</t>
  </si>
  <si>
    <t>Benefit Madambi</t>
  </si>
  <si>
    <t>Dore Burger</t>
  </si>
  <si>
    <t>Rhian Capostagno</t>
  </si>
  <si>
    <t>William Whitelaw</t>
  </si>
  <si>
    <t>Naushaad Mootheram</t>
  </si>
  <si>
    <t>Supriya Soorju</t>
  </si>
  <si>
    <t>Donn Pienaar</t>
  </si>
  <si>
    <t>Damian Lahoud</t>
  </si>
  <si>
    <t>Cornelis Groesbeek</t>
  </si>
  <si>
    <t>Christophe Dominique</t>
  </si>
  <si>
    <t>Christo Greyling</t>
  </si>
  <si>
    <t>Winrie Kruger</t>
  </si>
  <si>
    <t>Dewet van Schoor</t>
  </si>
  <si>
    <t>Marc Kruger</t>
  </si>
  <si>
    <t>Carla Johnson</t>
  </si>
  <si>
    <t>Isabella Claassens</t>
  </si>
  <si>
    <t>Ryan Hudson</t>
  </si>
  <si>
    <t>Anisha Jimmy</t>
  </si>
  <si>
    <t>Andrew Titterton</t>
  </si>
  <si>
    <t>Christine Court</t>
  </si>
  <si>
    <t>Role_department</t>
  </si>
  <si>
    <t>Total</t>
  </si>
  <si>
    <t>Director</t>
  </si>
  <si>
    <t>Partner</t>
  </si>
  <si>
    <t>Associate Principal</t>
  </si>
  <si>
    <t>Recruiting</t>
  </si>
  <si>
    <t>Snr Associate</t>
  </si>
  <si>
    <t>BDEA</t>
  </si>
  <si>
    <t>Manager</t>
  </si>
  <si>
    <t>Admin</t>
  </si>
  <si>
    <t>Finance</t>
  </si>
  <si>
    <t>IT Support</t>
  </si>
  <si>
    <t>Associate</t>
  </si>
  <si>
    <t>P&amp;C</t>
  </si>
  <si>
    <t>Staffing</t>
  </si>
  <si>
    <t>Business Analyst</t>
  </si>
  <si>
    <t>Rem &amp; Mobility</t>
  </si>
  <si>
    <t>Index</t>
  </si>
  <si>
    <t>Sheet Name</t>
  </si>
  <si>
    <t>0.5 days</t>
  </si>
  <si>
    <t>0.1 days</t>
  </si>
  <si>
    <t>Select Sheet</t>
  </si>
  <si>
    <t>Number</t>
  </si>
  <si>
    <t>Percent</t>
  </si>
  <si>
    <t>PiPers that liked</t>
  </si>
  <si>
    <t>PiPers that Commented</t>
  </si>
  <si>
    <t>PiPers that Shared</t>
  </si>
  <si>
    <t>Interaction</t>
  </si>
  <si>
    <t>Number of interactions</t>
  </si>
  <si>
    <t>Number of PiPers interacting with posts</t>
  </si>
  <si>
    <t>Total PiPers that interacted</t>
  </si>
  <si>
    <t>History</t>
  </si>
  <si>
    <t>Date</t>
  </si>
  <si>
    <t>*This needs to be entered manually each week</t>
  </si>
  <si>
    <t>Percentage change</t>
  </si>
  <si>
    <r>
      <t xml:space="preserve">% PiPers that interacted </t>
    </r>
    <r>
      <rPr>
        <b/>
        <sz val="11"/>
        <color rgb="FFFF0000"/>
        <rFont val="Calibri"/>
        <family val="2"/>
        <scheme val="minor"/>
      </rPr>
      <t>*</t>
    </r>
  </si>
  <si>
    <t>2 days</t>
  </si>
  <si>
    <t>0.3 days</t>
  </si>
  <si>
    <t>Click here to refresh the sheet names in the Select Sheet list</t>
  </si>
  <si>
    <t>0.0 days</t>
  </si>
  <si>
    <t>21-05-2020 09-47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</si>
</sst>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7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1" xfId="0" applyFont="1" applyBorder="1"/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9" fontId="0" fillId="0" borderId="1" xfId="1" applyFont="1" applyBorder="1"/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NumberFormat="1" applyFont="1"/>
    <xf numFmtId="16" fontId="0" fillId="0" borderId="1" xfId="0" applyNumberFormat="1" applyFont="1" applyBorder="1"/>
    <xf numFmtId="9" fontId="0" fillId="0" borderId="0" xfId="0" applyNumberFormat="1" applyFont="1"/>
    <xf numFmtId="0" fontId="3" fillId="0" borderId="0" xfId="0" applyFont="1"/>
    <xf numFmtId="9" fontId="0" fillId="0" borderId="1" xfId="1" applyNumberFormat="1" applyFont="1" applyBorder="1"/>
    <xf numFmtId="0" fontId="0" fillId="0" borderId="1" xfId="0" applyNumberFormat="1" applyFont="1" applyBorder="1"/>
    <xf numFmtId="164" fontId="0" fillId="0" borderId="1" xfId="0" applyNumberFormat="1" applyFont="1" applyBorder="1"/>
    <xf numFmtId="0" fontId="0" fillId="0" borderId="0" xfId="0"/>
    <xf numFmtId="9" fontId="0" fillId="0" borderId="1" xfId="1" applyFont="1" applyBorder="1"/>
    <xf numFmtId="0" fontId="4" fillId="3" borderId="1" xfId="0" applyFont="1" applyFill="1" applyBorder="1" applyAlignment="1">
      <alignment horizontal="center"/>
    </xf>
  </cellXfs>
  <cellStyles count="8">
    <cellStyle name="Normal" xfId="0" builtinId="0"/>
    <cellStyle name="Normal 2" xfId="2" xr:uid="{1CF85474-263D-4C36-8D81-F69E718766EA}"/>
    <cellStyle name="Normal 2 10" xfId="5" xr:uid="{13A0908B-11BE-4462-9AF0-9FF2FF6FA8FB}"/>
    <cellStyle name="Normal 2 2" xfId="4" xr:uid="{1B009C3E-6C5E-4436-8C47-74ACE0A325C7}"/>
    <cellStyle name="Normal 3" xfId="6" xr:uid="{AD3D583F-89FE-47D2-9095-8CF17D7F7910}"/>
    <cellStyle name="Normal 4" xfId="7" xr:uid="{6D4B0096-5798-4574-8E00-9684D74996C9}"/>
    <cellStyle name="Percent" xfId="1" builtinId="5"/>
    <cellStyle name="Style 1" xfId="3" xr:uid="{C0651CAC-7B60-4D48-9D42-401E977204F8}"/>
  </cellStyles>
  <dxfs count="0"/>
  <tableStyles count="0" defaultTableStyle="TableStyleMedium2" defaultPivotStyle="PivotStyleLight16"/>
  <colors>
    <mruColors>
      <color rgb="FF0099A8"/>
      <color rgb="FF1C3752"/>
      <color rgb="FF87C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1</xdr:row>
      <xdr:rowOff>7620</xdr:rowOff>
    </xdr:from>
    <xdr:to>
      <xdr:col>12</xdr:col>
      <xdr:colOff>137160</xdr:colOff>
      <xdr:row>3</xdr:row>
      <xdr:rowOff>0</xdr:rowOff>
    </xdr:to>
    <xdr:sp macro="[0]!Module1.SheetNames" textlink="">
      <xdr:nvSpPr>
        <xdr:cNvPr id="3" name="Rectangle: Beveled 2">
          <a:extLst>
            <a:ext uri="{FF2B5EF4-FFF2-40B4-BE49-F238E27FC236}">
              <a16:creationId xmlns:a16="http://schemas.microsoft.com/office/drawing/2014/main" id="{C9FE6E7C-7865-4F37-818A-1656F7B4BC3D}"/>
            </a:ext>
          </a:extLst>
        </xdr:cNvPr>
        <xdr:cNvSpPr/>
      </xdr:nvSpPr>
      <xdr:spPr>
        <a:xfrm>
          <a:off x="8938260" y="190500"/>
          <a:ext cx="1188720" cy="358140"/>
        </a:xfrm>
        <a:prstGeom prst="bevel">
          <a:avLst/>
        </a:prstGeom>
        <a:solidFill>
          <a:srgbClr val="87CDCF"/>
        </a:solidFill>
        <a:ln>
          <a:solidFill>
            <a:srgbClr val="0099A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1">
              <a:solidFill>
                <a:sysClr val="windowText" lastClr="000000"/>
              </a:solidFill>
            </a:rPr>
            <a:t>Refresh</a:t>
          </a:r>
          <a:r>
            <a:rPr lang="en-ZA" sz="1100" b="1" baseline="0">
              <a:solidFill>
                <a:sysClr val="windowText" lastClr="000000"/>
              </a:solidFill>
            </a:rPr>
            <a:t> Sheets</a:t>
          </a:r>
          <a:endParaRPr lang="en-ZA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220E-D0B9-4A96-8906-E3DD7B1587A7}">
  <sheetPr codeName="Sheet1"/>
  <dimension ref="A1:C146"/>
  <sheetViews>
    <sheetView topLeftCell="A25" workbookViewId="0">
      <selection activeCell="G24" sqref="G24"/>
    </sheetView>
  </sheetViews>
  <sheetFormatPr defaultRowHeight="15" x14ac:dyDescent="0.25"/>
  <cols>
    <col min="1" max="1" width="24.5703125" bestFit="1" customWidth="1"/>
    <col min="2" max="3" width="10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5</v>
      </c>
    </row>
    <row r="3" spans="1:3" x14ac:dyDescent="0.25">
      <c r="A3" t="s">
        <v>6</v>
      </c>
      <c r="B3" t="s">
        <v>7</v>
      </c>
      <c r="C3" t="s">
        <v>8</v>
      </c>
    </row>
    <row r="4" spans="1:3" x14ac:dyDescent="0.25">
      <c r="A4" t="s">
        <v>6</v>
      </c>
      <c r="B4" t="s">
        <v>4</v>
      </c>
      <c r="C4" t="s">
        <v>8</v>
      </c>
    </row>
    <row r="5" spans="1:3" x14ac:dyDescent="0.25">
      <c r="A5" t="s">
        <v>9</v>
      </c>
      <c r="B5" t="s">
        <v>4</v>
      </c>
      <c r="C5" t="s">
        <v>5</v>
      </c>
    </row>
    <row r="6" spans="1:3" x14ac:dyDescent="0.25">
      <c r="A6" t="s">
        <v>9</v>
      </c>
      <c r="B6" t="s">
        <v>4</v>
      </c>
      <c r="C6" t="s">
        <v>8</v>
      </c>
    </row>
    <row r="7" spans="1:3" x14ac:dyDescent="0.25">
      <c r="A7" t="s">
        <v>10</v>
      </c>
      <c r="B7" t="s">
        <v>4</v>
      </c>
      <c r="C7" t="s">
        <v>11</v>
      </c>
    </row>
    <row r="8" spans="1:3" x14ac:dyDescent="0.25">
      <c r="A8" t="s">
        <v>12</v>
      </c>
      <c r="B8" t="s">
        <v>13</v>
      </c>
      <c r="C8" t="s">
        <v>13</v>
      </c>
    </row>
    <row r="9" spans="1:3" x14ac:dyDescent="0.25">
      <c r="A9" t="s">
        <v>14</v>
      </c>
      <c r="B9" t="s">
        <v>13</v>
      </c>
      <c r="C9" t="s">
        <v>13</v>
      </c>
    </row>
    <row r="10" spans="1:3" x14ac:dyDescent="0.25">
      <c r="A10" t="s">
        <v>15</v>
      </c>
      <c r="B10" t="s">
        <v>13</v>
      </c>
      <c r="C10" t="s">
        <v>13</v>
      </c>
    </row>
    <row r="11" spans="1:3" x14ac:dyDescent="0.25">
      <c r="A11" t="s">
        <v>16</v>
      </c>
      <c r="B11" t="s">
        <v>4</v>
      </c>
      <c r="C11" t="s">
        <v>8</v>
      </c>
    </row>
    <row r="12" spans="1:3" x14ac:dyDescent="0.25">
      <c r="A12" t="s">
        <v>17</v>
      </c>
      <c r="B12" t="s">
        <v>7</v>
      </c>
      <c r="C12" t="s">
        <v>5</v>
      </c>
    </row>
    <row r="13" spans="1:3" x14ac:dyDescent="0.25">
      <c r="A13" t="s">
        <v>17</v>
      </c>
      <c r="B13" t="s">
        <v>18</v>
      </c>
      <c r="C13" t="s">
        <v>19</v>
      </c>
    </row>
    <row r="14" spans="1:3" x14ac:dyDescent="0.25">
      <c r="A14" t="s">
        <v>17</v>
      </c>
      <c r="B14" t="s">
        <v>7</v>
      </c>
      <c r="C14" t="s">
        <v>8</v>
      </c>
    </row>
    <row r="15" spans="1:3" x14ac:dyDescent="0.25">
      <c r="A15" t="s">
        <v>17</v>
      </c>
      <c r="B15" t="s">
        <v>18</v>
      </c>
      <c r="C15" t="s">
        <v>8</v>
      </c>
    </row>
    <row r="16" spans="1:3" x14ac:dyDescent="0.25">
      <c r="A16" t="s">
        <v>20</v>
      </c>
      <c r="B16" t="s">
        <v>13</v>
      </c>
      <c r="C16" t="s">
        <v>13</v>
      </c>
    </row>
    <row r="17" spans="1:3" x14ac:dyDescent="0.25">
      <c r="A17" t="s">
        <v>21</v>
      </c>
      <c r="B17" t="s">
        <v>13</v>
      </c>
      <c r="C17" t="s">
        <v>13</v>
      </c>
    </row>
    <row r="18" spans="1:3" x14ac:dyDescent="0.25">
      <c r="A18" t="s">
        <v>22</v>
      </c>
      <c r="B18" t="s">
        <v>4</v>
      </c>
      <c r="C18" t="s">
        <v>8</v>
      </c>
    </row>
    <row r="19" spans="1:3" x14ac:dyDescent="0.25">
      <c r="A19" t="s">
        <v>22</v>
      </c>
      <c r="B19" t="s">
        <v>4</v>
      </c>
      <c r="C19" t="s">
        <v>19</v>
      </c>
    </row>
    <row r="20" spans="1:3" x14ac:dyDescent="0.25">
      <c r="A20" t="s">
        <v>22</v>
      </c>
      <c r="B20" t="s">
        <v>4</v>
      </c>
      <c r="C20" t="s">
        <v>8</v>
      </c>
    </row>
    <row r="21" spans="1:3" x14ac:dyDescent="0.25">
      <c r="A21" t="s">
        <v>23</v>
      </c>
      <c r="B21" t="s">
        <v>13</v>
      </c>
      <c r="C21" t="s">
        <v>13</v>
      </c>
    </row>
    <row r="22" spans="1:3" x14ac:dyDescent="0.25">
      <c r="A22" t="s">
        <v>24</v>
      </c>
      <c r="B22" t="s">
        <v>13</v>
      </c>
      <c r="C22" t="s">
        <v>13</v>
      </c>
    </row>
    <row r="23" spans="1:3" x14ac:dyDescent="0.25">
      <c r="A23" t="s">
        <v>25</v>
      </c>
      <c r="B23" t="s">
        <v>4</v>
      </c>
      <c r="C23" t="s">
        <v>8</v>
      </c>
    </row>
    <row r="24" spans="1:3" x14ac:dyDescent="0.25">
      <c r="A24" t="s">
        <v>26</v>
      </c>
      <c r="B24" t="s">
        <v>13</v>
      </c>
      <c r="C24" t="s">
        <v>13</v>
      </c>
    </row>
    <row r="25" spans="1:3" x14ac:dyDescent="0.25">
      <c r="A25" t="s">
        <v>27</v>
      </c>
      <c r="B25" t="s">
        <v>18</v>
      </c>
      <c r="C25" t="s">
        <v>11</v>
      </c>
    </row>
    <row r="26" spans="1:3" x14ac:dyDescent="0.25">
      <c r="A26" t="s">
        <v>27</v>
      </c>
      <c r="B26" t="s">
        <v>4</v>
      </c>
      <c r="C26" t="s">
        <v>8</v>
      </c>
    </row>
    <row r="27" spans="1:3" x14ac:dyDescent="0.25">
      <c r="A27" t="s">
        <v>28</v>
      </c>
      <c r="B27" t="s">
        <v>4</v>
      </c>
      <c r="C27" t="s">
        <v>8</v>
      </c>
    </row>
    <row r="28" spans="1:3" x14ac:dyDescent="0.25">
      <c r="A28" t="s">
        <v>28</v>
      </c>
      <c r="B28" t="s">
        <v>4</v>
      </c>
      <c r="C28" t="s">
        <v>19</v>
      </c>
    </row>
    <row r="29" spans="1:3" x14ac:dyDescent="0.25">
      <c r="A29" t="s">
        <v>28</v>
      </c>
      <c r="B29" t="s">
        <v>4</v>
      </c>
      <c r="C29" t="s">
        <v>8</v>
      </c>
    </row>
    <row r="30" spans="1:3" x14ac:dyDescent="0.25">
      <c r="A30" t="s">
        <v>29</v>
      </c>
      <c r="B30" t="s">
        <v>18</v>
      </c>
      <c r="C30" t="s">
        <v>19</v>
      </c>
    </row>
    <row r="31" spans="1:3" x14ac:dyDescent="0.25">
      <c r="A31" t="s">
        <v>30</v>
      </c>
      <c r="B31" t="s">
        <v>4</v>
      </c>
      <c r="C31" t="s">
        <v>8</v>
      </c>
    </row>
    <row r="32" spans="1:3" x14ac:dyDescent="0.25">
      <c r="A32" t="s">
        <v>31</v>
      </c>
      <c r="B32" t="s">
        <v>4</v>
      </c>
      <c r="C32" t="s">
        <v>11</v>
      </c>
    </row>
    <row r="33" spans="1:3" x14ac:dyDescent="0.25">
      <c r="A33" t="s">
        <v>31</v>
      </c>
      <c r="B33" t="s">
        <v>4</v>
      </c>
      <c r="C33" t="s">
        <v>5</v>
      </c>
    </row>
    <row r="34" spans="1:3" x14ac:dyDescent="0.25">
      <c r="A34" t="s">
        <v>31</v>
      </c>
      <c r="B34" t="s">
        <v>4</v>
      </c>
      <c r="C34" t="s">
        <v>19</v>
      </c>
    </row>
    <row r="35" spans="1:3" x14ac:dyDescent="0.25">
      <c r="A35" t="s">
        <v>31</v>
      </c>
      <c r="B35" t="s">
        <v>4</v>
      </c>
      <c r="C35" t="s">
        <v>19</v>
      </c>
    </row>
    <row r="36" spans="1:3" x14ac:dyDescent="0.25">
      <c r="A36" t="s">
        <v>31</v>
      </c>
      <c r="B36" t="s">
        <v>4</v>
      </c>
      <c r="C36" t="s">
        <v>8</v>
      </c>
    </row>
    <row r="37" spans="1:3" x14ac:dyDescent="0.25">
      <c r="A37" t="s">
        <v>32</v>
      </c>
      <c r="B37" t="s">
        <v>4</v>
      </c>
      <c r="C37" t="s">
        <v>8</v>
      </c>
    </row>
    <row r="38" spans="1:3" x14ac:dyDescent="0.25">
      <c r="A38" t="s">
        <v>33</v>
      </c>
      <c r="B38" t="s">
        <v>13</v>
      </c>
      <c r="C38" t="s">
        <v>13</v>
      </c>
    </row>
    <row r="39" spans="1:3" x14ac:dyDescent="0.25">
      <c r="A39" t="s">
        <v>34</v>
      </c>
      <c r="B39" t="s">
        <v>13</v>
      </c>
      <c r="C39" t="s">
        <v>13</v>
      </c>
    </row>
    <row r="40" spans="1:3" x14ac:dyDescent="0.25">
      <c r="A40" t="s">
        <v>35</v>
      </c>
      <c r="B40" t="s">
        <v>13</v>
      </c>
      <c r="C40" t="s">
        <v>13</v>
      </c>
    </row>
    <row r="41" spans="1:3" x14ac:dyDescent="0.25">
      <c r="A41" t="s">
        <v>36</v>
      </c>
      <c r="B41" t="s">
        <v>13</v>
      </c>
      <c r="C41" t="s">
        <v>13</v>
      </c>
    </row>
    <row r="42" spans="1:3" x14ac:dyDescent="0.25">
      <c r="A42" t="s">
        <v>37</v>
      </c>
      <c r="B42" t="s">
        <v>18</v>
      </c>
      <c r="C42" t="s">
        <v>8</v>
      </c>
    </row>
    <row r="43" spans="1:3" x14ac:dyDescent="0.25">
      <c r="A43" t="s">
        <v>37</v>
      </c>
      <c r="B43" t="s">
        <v>4</v>
      </c>
      <c r="C43" t="s">
        <v>8</v>
      </c>
    </row>
    <row r="44" spans="1:3" x14ac:dyDescent="0.25">
      <c r="A44" t="s">
        <v>38</v>
      </c>
      <c r="B44" t="s">
        <v>18</v>
      </c>
      <c r="C44" t="s">
        <v>11</v>
      </c>
    </row>
    <row r="45" spans="1:3" x14ac:dyDescent="0.25">
      <c r="A45" t="s">
        <v>38</v>
      </c>
      <c r="B45" t="s">
        <v>4</v>
      </c>
      <c r="C45" t="s">
        <v>39</v>
      </c>
    </row>
    <row r="46" spans="1:3" x14ac:dyDescent="0.25">
      <c r="A46" t="s">
        <v>38</v>
      </c>
      <c r="B46" t="s">
        <v>18</v>
      </c>
      <c r="C46" t="s">
        <v>39</v>
      </c>
    </row>
    <row r="47" spans="1:3" x14ac:dyDescent="0.25">
      <c r="A47" t="s">
        <v>38</v>
      </c>
      <c r="B47" t="s">
        <v>4</v>
      </c>
      <c r="C47" t="s">
        <v>39</v>
      </c>
    </row>
    <row r="48" spans="1:3" x14ac:dyDescent="0.25">
      <c r="A48" t="s">
        <v>38</v>
      </c>
      <c r="B48" t="s">
        <v>18</v>
      </c>
      <c r="C48" t="s">
        <v>39</v>
      </c>
    </row>
    <row r="49" spans="1:3" x14ac:dyDescent="0.25">
      <c r="A49" t="s">
        <v>38</v>
      </c>
      <c r="B49" t="s">
        <v>4</v>
      </c>
      <c r="C49" t="s">
        <v>39</v>
      </c>
    </row>
    <row r="50" spans="1:3" x14ac:dyDescent="0.25">
      <c r="A50" t="s">
        <v>38</v>
      </c>
      <c r="B50" t="s">
        <v>18</v>
      </c>
      <c r="C50" t="s">
        <v>39</v>
      </c>
    </row>
    <row r="51" spans="1:3" x14ac:dyDescent="0.25">
      <c r="A51" t="s">
        <v>38</v>
      </c>
      <c r="B51" t="s">
        <v>4</v>
      </c>
      <c r="C51" t="s">
        <v>39</v>
      </c>
    </row>
    <row r="52" spans="1:3" x14ac:dyDescent="0.25">
      <c r="A52" t="s">
        <v>38</v>
      </c>
      <c r="B52" t="s">
        <v>18</v>
      </c>
      <c r="C52" t="s">
        <v>39</v>
      </c>
    </row>
    <row r="53" spans="1:3" x14ac:dyDescent="0.25">
      <c r="A53" t="s">
        <v>38</v>
      </c>
      <c r="B53" t="s">
        <v>4</v>
      </c>
      <c r="C53" t="s">
        <v>19</v>
      </c>
    </row>
    <row r="54" spans="1:3" x14ac:dyDescent="0.25">
      <c r="A54" t="s">
        <v>38</v>
      </c>
      <c r="B54" t="s">
        <v>18</v>
      </c>
      <c r="C54" t="s">
        <v>19</v>
      </c>
    </row>
    <row r="55" spans="1:3" x14ac:dyDescent="0.25">
      <c r="A55" t="s">
        <v>38</v>
      </c>
      <c r="B55" t="s">
        <v>4</v>
      </c>
      <c r="C55" t="s">
        <v>8</v>
      </c>
    </row>
    <row r="56" spans="1:3" x14ac:dyDescent="0.25">
      <c r="A56" t="s">
        <v>40</v>
      </c>
      <c r="B56" t="s">
        <v>4</v>
      </c>
      <c r="C56" t="s">
        <v>19</v>
      </c>
    </row>
    <row r="57" spans="1:3" x14ac:dyDescent="0.25">
      <c r="A57" t="s">
        <v>41</v>
      </c>
      <c r="B57" t="s">
        <v>42</v>
      </c>
      <c r="C57" t="s">
        <v>42</v>
      </c>
    </row>
    <row r="58" spans="1:3" x14ac:dyDescent="0.25">
      <c r="A58" t="s">
        <v>43</v>
      </c>
      <c r="B58" t="s">
        <v>4</v>
      </c>
      <c r="C58" t="s">
        <v>11</v>
      </c>
    </row>
    <row r="59" spans="1:3" x14ac:dyDescent="0.25">
      <c r="A59" t="s">
        <v>43</v>
      </c>
      <c r="B59" t="s">
        <v>4</v>
      </c>
      <c r="C59" t="s">
        <v>8</v>
      </c>
    </row>
    <row r="60" spans="1:3" x14ac:dyDescent="0.25">
      <c r="A60" t="s">
        <v>44</v>
      </c>
      <c r="B60" t="s">
        <v>4</v>
      </c>
      <c r="C60" t="s">
        <v>8</v>
      </c>
    </row>
    <row r="61" spans="1:3" x14ac:dyDescent="0.25">
      <c r="A61" t="s">
        <v>45</v>
      </c>
      <c r="B61" t="s">
        <v>13</v>
      </c>
      <c r="C61" t="s">
        <v>13</v>
      </c>
    </row>
    <row r="62" spans="1:3" x14ac:dyDescent="0.25">
      <c r="A62" t="s">
        <v>46</v>
      </c>
      <c r="B62" t="s">
        <v>13</v>
      </c>
      <c r="C62" t="s">
        <v>13</v>
      </c>
    </row>
    <row r="63" spans="1:3" x14ac:dyDescent="0.25">
      <c r="A63" t="s">
        <v>47</v>
      </c>
      <c r="B63" t="s">
        <v>42</v>
      </c>
      <c r="C63" t="s">
        <v>42</v>
      </c>
    </row>
    <row r="64" spans="1:3" x14ac:dyDescent="0.25">
      <c r="A64" t="s">
        <v>48</v>
      </c>
      <c r="B64" t="s">
        <v>4</v>
      </c>
      <c r="C64" t="s">
        <v>5</v>
      </c>
    </row>
    <row r="65" spans="1:3" x14ac:dyDescent="0.25">
      <c r="A65" t="s">
        <v>48</v>
      </c>
      <c r="B65" t="s">
        <v>4</v>
      </c>
      <c r="C65" t="s">
        <v>19</v>
      </c>
    </row>
    <row r="66" spans="1:3" x14ac:dyDescent="0.25">
      <c r="A66" t="s">
        <v>48</v>
      </c>
      <c r="B66" t="s">
        <v>4</v>
      </c>
      <c r="C66" t="s">
        <v>19</v>
      </c>
    </row>
    <row r="67" spans="1:3" x14ac:dyDescent="0.25">
      <c r="A67" t="s">
        <v>48</v>
      </c>
      <c r="B67" t="s">
        <v>4</v>
      </c>
      <c r="C67" t="s">
        <v>19</v>
      </c>
    </row>
    <row r="68" spans="1:3" x14ac:dyDescent="0.25">
      <c r="A68" t="s">
        <v>48</v>
      </c>
      <c r="B68" t="s">
        <v>4</v>
      </c>
      <c r="C68" t="s">
        <v>8</v>
      </c>
    </row>
    <row r="69" spans="1:3" x14ac:dyDescent="0.25">
      <c r="A69" t="s">
        <v>49</v>
      </c>
      <c r="B69" t="s">
        <v>4</v>
      </c>
      <c r="C69" t="s">
        <v>8</v>
      </c>
    </row>
    <row r="70" spans="1:3" x14ac:dyDescent="0.25">
      <c r="A70" t="s">
        <v>50</v>
      </c>
      <c r="B70" t="s">
        <v>13</v>
      </c>
      <c r="C70" t="s">
        <v>13</v>
      </c>
    </row>
    <row r="71" spans="1:3" x14ac:dyDescent="0.25">
      <c r="A71" t="s">
        <v>51</v>
      </c>
      <c r="B71" t="s">
        <v>4</v>
      </c>
      <c r="C71" t="s">
        <v>5</v>
      </c>
    </row>
    <row r="72" spans="1:3" x14ac:dyDescent="0.25">
      <c r="A72" t="s">
        <v>52</v>
      </c>
      <c r="B72" t="s">
        <v>7</v>
      </c>
      <c r="C72" t="s">
        <v>5</v>
      </c>
    </row>
    <row r="73" spans="1:3" x14ac:dyDescent="0.25">
      <c r="A73" t="s">
        <v>52</v>
      </c>
      <c r="B73" t="s">
        <v>4</v>
      </c>
      <c r="C73" t="s">
        <v>5</v>
      </c>
    </row>
    <row r="74" spans="1:3" x14ac:dyDescent="0.25">
      <c r="A74" t="s">
        <v>52</v>
      </c>
      <c r="B74" t="s">
        <v>4</v>
      </c>
      <c r="C74" t="s">
        <v>8</v>
      </c>
    </row>
    <row r="75" spans="1:3" x14ac:dyDescent="0.25">
      <c r="A75" t="s">
        <v>53</v>
      </c>
      <c r="B75" t="s">
        <v>4</v>
      </c>
      <c r="C75" t="s">
        <v>11</v>
      </c>
    </row>
    <row r="76" spans="1:3" x14ac:dyDescent="0.25">
      <c r="A76" t="s">
        <v>53</v>
      </c>
      <c r="B76" t="s">
        <v>18</v>
      </c>
      <c r="C76" t="s">
        <v>5</v>
      </c>
    </row>
    <row r="77" spans="1:3" x14ac:dyDescent="0.25">
      <c r="A77" t="s">
        <v>53</v>
      </c>
      <c r="B77" t="s">
        <v>4</v>
      </c>
      <c r="C77" t="s">
        <v>8</v>
      </c>
    </row>
    <row r="78" spans="1:3" x14ac:dyDescent="0.25">
      <c r="A78" t="s">
        <v>54</v>
      </c>
      <c r="B78" t="s">
        <v>13</v>
      </c>
      <c r="C78" t="s">
        <v>13</v>
      </c>
    </row>
    <row r="79" spans="1:3" x14ac:dyDescent="0.25">
      <c r="A79" t="s">
        <v>55</v>
      </c>
      <c r="B79" t="s">
        <v>13</v>
      </c>
      <c r="C79" t="s">
        <v>13</v>
      </c>
    </row>
    <row r="80" spans="1:3" x14ac:dyDescent="0.25">
      <c r="A80" t="s">
        <v>56</v>
      </c>
      <c r="B80" t="s">
        <v>13</v>
      </c>
      <c r="C80" t="s">
        <v>13</v>
      </c>
    </row>
    <row r="81" spans="1:3" x14ac:dyDescent="0.25">
      <c r="A81" t="s">
        <v>57</v>
      </c>
      <c r="B81" t="s">
        <v>13</v>
      </c>
      <c r="C81" t="s">
        <v>13</v>
      </c>
    </row>
    <row r="82" spans="1:3" x14ac:dyDescent="0.25">
      <c r="A82" t="s">
        <v>58</v>
      </c>
      <c r="B82" t="s">
        <v>13</v>
      </c>
      <c r="C82" t="s">
        <v>13</v>
      </c>
    </row>
    <row r="83" spans="1:3" x14ac:dyDescent="0.25">
      <c r="A83" t="s">
        <v>59</v>
      </c>
      <c r="B83" t="s">
        <v>4</v>
      </c>
      <c r="C83" t="s">
        <v>39</v>
      </c>
    </row>
    <row r="84" spans="1:3" x14ac:dyDescent="0.25">
      <c r="A84" t="s">
        <v>59</v>
      </c>
      <c r="B84" t="s">
        <v>4</v>
      </c>
      <c r="C84" t="s">
        <v>5</v>
      </c>
    </row>
    <row r="85" spans="1:3" x14ac:dyDescent="0.25">
      <c r="A85" t="s">
        <v>59</v>
      </c>
      <c r="B85" t="s">
        <v>4</v>
      </c>
      <c r="C85" t="s">
        <v>39</v>
      </c>
    </row>
    <row r="86" spans="1:3" x14ac:dyDescent="0.25">
      <c r="A86" t="s">
        <v>59</v>
      </c>
      <c r="B86" t="s">
        <v>4</v>
      </c>
      <c r="C86" t="s">
        <v>8</v>
      </c>
    </row>
    <row r="87" spans="1:3" x14ac:dyDescent="0.25">
      <c r="A87" t="s">
        <v>59</v>
      </c>
      <c r="B87" t="s">
        <v>18</v>
      </c>
      <c r="C87" t="s">
        <v>8</v>
      </c>
    </row>
    <row r="88" spans="1:3" x14ac:dyDescent="0.25">
      <c r="A88" t="s">
        <v>59</v>
      </c>
      <c r="B88" t="s">
        <v>4</v>
      </c>
      <c r="C88" t="s">
        <v>8</v>
      </c>
    </row>
    <row r="89" spans="1:3" x14ac:dyDescent="0.25">
      <c r="A89" t="s">
        <v>59</v>
      </c>
      <c r="B89" t="s">
        <v>18</v>
      </c>
      <c r="C89" t="s">
        <v>8</v>
      </c>
    </row>
    <row r="90" spans="1:3" x14ac:dyDescent="0.25">
      <c r="A90" t="s">
        <v>59</v>
      </c>
      <c r="B90" t="s">
        <v>4</v>
      </c>
      <c r="C90" t="s">
        <v>8</v>
      </c>
    </row>
    <row r="91" spans="1:3" x14ac:dyDescent="0.25">
      <c r="A91" t="s">
        <v>60</v>
      </c>
      <c r="B91" t="s">
        <v>13</v>
      </c>
      <c r="C91" t="s">
        <v>13</v>
      </c>
    </row>
    <row r="92" spans="1:3" x14ac:dyDescent="0.25">
      <c r="A92" t="s">
        <v>61</v>
      </c>
      <c r="B92" t="s">
        <v>18</v>
      </c>
      <c r="C92" t="s">
        <v>19</v>
      </c>
    </row>
    <row r="93" spans="1:3" x14ac:dyDescent="0.25">
      <c r="A93" t="s">
        <v>62</v>
      </c>
      <c r="B93" t="s">
        <v>4</v>
      </c>
      <c r="C93" t="s">
        <v>8</v>
      </c>
    </row>
    <row r="94" spans="1:3" x14ac:dyDescent="0.25">
      <c r="A94" t="s">
        <v>63</v>
      </c>
      <c r="B94" t="s">
        <v>13</v>
      </c>
      <c r="C94" t="s">
        <v>13</v>
      </c>
    </row>
    <row r="95" spans="1:3" x14ac:dyDescent="0.25">
      <c r="A95" t="s">
        <v>64</v>
      </c>
      <c r="B95" t="s">
        <v>13</v>
      </c>
      <c r="C95" t="s">
        <v>13</v>
      </c>
    </row>
    <row r="96" spans="1:3" x14ac:dyDescent="0.25">
      <c r="A96" t="s">
        <v>65</v>
      </c>
      <c r="B96" t="s">
        <v>4</v>
      </c>
      <c r="C96" t="s">
        <v>109</v>
      </c>
    </row>
    <row r="97" spans="1:3" x14ac:dyDescent="0.25">
      <c r="A97" t="s">
        <v>65</v>
      </c>
      <c r="B97" t="s">
        <v>4</v>
      </c>
      <c r="C97" t="s">
        <v>110</v>
      </c>
    </row>
    <row r="98" spans="1:3" x14ac:dyDescent="0.25">
      <c r="A98" t="s">
        <v>65</v>
      </c>
      <c r="B98" t="s">
        <v>4</v>
      </c>
      <c r="C98" t="s">
        <v>5</v>
      </c>
    </row>
    <row r="99" spans="1:3" x14ac:dyDescent="0.25">
      <c r="A99" t="s">
        <v>65</v>
      </c>
      <c r="B99" t="s">
        <v>4</v>
      </c>
      <c r="C99" t="s">
        <v>8</v>
      </c>
    </row>
    <row r="100" spans="1:3" x14ac:dyDescent="0.25">
      <c r="A100" t="s">
        <v>66</v>
      </c>
      <c r="B100" t="s">
        <v>13</v>
      </c>
      <c r="C100" t="s">
        <v>13</v>
      </c>
    </row>
    <row r="101" spans="1:3" x14ac:dyDescent="0.25">
      <c r="A101" t="s">
        <v>67</v>
      </c>
      <c r="B101" t="s">
        <v>4</v>
      </c>
      <c r="C101" t="s">
        <v>11</v>
      </c>
    </row>
    <row r="102" spans="1:3" x14ac:dyDescent="0.25">
      <c r="A102" t="s">
        <v>67</v>
      </c>
      <c r="B102" t="s">
        <v>7</v>
      </c>
      <c r="C102" t="s">
        <v>5</v>
      </c>
    </row>
    <row r="103" spans="1:3" x14ac:dyDescent="0.25">
      <c r="A103" t="s">
        <v>67</v>
      </c>
      <c r="B103" t="s">
        <v>4</v>
      </c>
      <c r="C103" t="s">
        <v>5</v>
      </c>
    </row>
    <row r="104" spans="1:3" x14ac:dyDescent="0.25">
      <c r="A104" t="s">
        <v>67</v>
      </c>
      <c r="B104" t="s">
        <v>4</v>
      </c>
      <c r="C104" t="s">
        <v>39</v>
      </c>
    </row>
    <row r="105" spans="1:3" x14ac:dyDescent="0.25">
      <c r="A105" t="s">
        <v>67</v>
      </c>
      <c r="B105" t="s">
        <v>4</v>
      </c>
      <c r="C105" t="s">
        <v>19</v>
      </c>
    </row>
    <row r="106" spans="1:3" x14ac:dyDescent="0.25">
      <c r="A106" t="s">
        <v>67</v>
      </c>
      <c r="B106" t="s">
        <v>18</v>
      </c>
      <c r="C106" t="s">
        <v>19</v>
      </c>
    </row>
    <row r="107" spans="1:3" x14ac:dyDescent="0.25">
      <c r="A107" t="s">
        <v>67</v>
      </c>
      <c r="B107" t="s">
        <v>4</v>
      </c>
      <c r="C107" t="s">
        <v>8</v>
      </c>
    </row>
    <row r="108" spans="1:3" x14ac:dyDescent="0.25">
      <c r="A108" t="s">
        <v>68</v>
      </c>
      <c r="B108" t="s">
        <v>13</v>
      </c>
      <c r="C108" t="s">
        <v>13</v>
      </c>
    </row>
    <row r="109" spans="1:3" x14ac:dyDescent="0.25">
      <c r="A109" t="s">
        <v>69</v>
      </c>
      <c r="B109" t="s">
        <v>4</v>
      </c>
      <c r="C109" t="s">
        <v>5</v>
      </c>
    </row>
    <row r="110" spans="1:3" x14ac:dyDescent="0.25">
      <c r="A110" t="s">
        <v>69</v>
      </c>
      <c r="B110" t="s">
        <v>4</v>
      </c>
      <c r="C110" t="s">
        <v>8</v>
      </c>
    </row>
    <row r="111" spans="1:3" x14ac:dyDescent="0.25">
      <c r="A111" t="s">
        <v>70</v>
      </c>
      <c r="B111" t="s">
        <v>4</v>
      </c>
      <c r="C111" t="s">
        <v>19</v>
      </c>
    </row>
    <row r="112" spans="1:3" x14ac:dyDescent="0.25">
      <c r="A112" t="s">
        <v>70</v>
      </c>
      <c r="B112" t="s">
        <v>4</v>
      </c>
      <c r="C112" t="s">
        <v>8</v>
      </c>
    </row>
    <row r="113" spans="1:3" x14ac:dyDescent="0.25">
      <c r="A113" t="s">
        <v>71</v>
      </c>
      <c r="B113" t="s">
        <v>13</v>
      </c>
      <c r="C113" t="s">
        <v>13</v>
      </c>
    </row>
    <row r="114" spans="1:3" x14ac:dyDescent="0.25">
      <c r="A114" t="s">
        <v>72</v>
      </c>
      <c r="B114" t="s">
        <v>42</v>
      </c>
      <c r="C114" t="s">
        <v>42</v>
      </c>
    </row>
    <row r="115" spans="1:3" x14ac:dyDescent="0.25">
      <c r="A115" t="s">
        <v>73</v>
      </c>
      <c r="B115" t="s">
        <v>4</v>
      </c>
      <c r="C115" t="s">
        <v>8</v>
      </c>
    </row>
    <row r="116" spans="1:3" x14ac:dyDescent="0.25">
      <c r="A116" t="s">
        <v>74</v>
      </c>
      <c r="B116" t="s">
        <v>4</v>
      </c>
      <c r="C116" t="s">
        <v>8</v>
      </c>
    </row>
    <row r="117" spans="1:3" x14ac:dyDescent="0.25">
      <c r="A117" t="s">
        <v>75</v>
      </c>
      <c r="B117" t="s">
        <v>13</v>
      </c>
      <c r="C117" t="s">
        <v>13</v>
      </c>
    </row>
    <row r="118" spans="1:3" x14ac:dyDescent="0.25">
      <c r="A118" t="s">
        <v>76</v>
      </c>
      <c r="B118" t="s">
        <v>13</v>
      </c>
      <c r="C118" t="s">
        <v>13</v>
      </c>
    </row>
    <row r="119" spans="1:3" x14ac:dyDescent="0.25">
      <c r="A119" t="s">
        <v>77</v>
      </c>
      <c r="B119" t="s">
        <v>4</v>
      </c>
      <c r="C119" t="s">
        <v>8</v>
      </c>
    </row>
    <row r="120" spans="1:3" x14ac:dyDescent="0.25">
      <c r="A120" t="s">
        <v>78</v>
      </c>
      <c r="B120" t="s">
        <v>4</v>
      </c>
      <c r="C120" t="s">
        <v>8</v>
      </c>
    </row>
    <row r="121" spans="1:3" x14ac:dyDescent="0.25">
      <c r="A121" t="s">
        <v>79</v>
      </c>
      <c r="B121" t="s">
        <v>4</v>
      </c>
      <c r="C121" t="s">
        <v>19</v>
      </c>
    </row>
    <row r="122" spans="1:3" x14ac:dyDescent="0.25">
      <c r="A122" t="s">
        <v>79</v>
      </c>
      <c r="B122" t="s">
        <v>18</v>
      </c>
      <c r="C122" t="s">
        <v>8</v>
      </c>
    </row>
    <row r="123" spans="1:3" x14ac:dyDescent="0.25">
      <c r="A123" t="s">
        <v>79</v>
      </c>
      <c r="B123" t="s">
        <v>4</v>
      </c>
      <c r="C123" t="s">
        <v>8</v>
      </c>
    </row>
    <row r="124" spans="1:3" x14ac:dyDescent="0.25">
      <c r="A124" t="s">
        <v>80</v>
      </c>
      <c r="B124" t="s">
        <v>4</v>
      </c>
      <c r="C124" t="s">
        <v>8</v>
      </c>
    </row>
    <row r="125" spans="1:3" x14ac:dyDescent="0.25">
      <c r="A125" t="s">
        <v>80</v>
      </c>
      <c r="B125" t="s">
        <v>18</v>
      </c>
      <c r="C125" t="s">
        <v>8</v>
      </c>
    </row>
    <row r="126" spans="1:3" x14ac:dyDescent="0.25">
      <c r="A126" t="s">
        <v>80</v>
      </c>
      <c r="B126" t="s">
        <v>4</v>
      </c>
      <c r="C126" t="s">
        <v>8</v>
      </c>
    </row>
    <row r="127" spans="1:3" x14ac:dyDescent="0.25">
      <c r="A127" t="s">
        <v>80</v>
      </c>
      <c r="B127" t="s">
        <v>18</v>
      </c>
      <c r="C127" t="s">
        <v>8</v>
      </c>
    </row>
    <row r="128" spans="1:3" x14ac:dyDescent="0.25">
      <c r="A128" t="s">
        <v>80</v>
      </c>
      <c r="B128" t="s">
        <v>4</v>
      </c>
      <c r="C128" t="s">
        <v>8</v>
      </c>
    </row>
    <row r="129" spans="1:3" x14ac:dyDescent="0.25">
      <c r="A129" t="s">
        <v>80</v>
      </c>
      <c r="B129" t="s">
        <v>18</v>
      </c>
      <c r="C129" t="s">
        <v>8</v>
      </c>
    </row>
    <row r="130" spans="1:3" x14ac:dyDescent="0.25">
      <c r="A130" t="s">
        <v>81</v>
      </c>
      <c r="B130" t="s">
        <v>18</v>
      </c>
      <c r="C130" t="s">
        <v>8</v>
      </c>
    </row>
    <row r="131" spans="1:3" x14ac:dyDescent="0.25">
      <c r="A131" t="s">
        <v>81</v>
      </c>
      <c r="B131" t="s">
        <v>4</v>
      </c>
      <c r="C131" t="s">
        <v>8</v>
      </c>
    </row>
    <row r="132" spans="1:3" x14ac:dyDescent="0.25">
      <c r="A132" t="s">
        <v>82</v>
      </c>
      <c r="B132" t="s">
        <v>4</v>
      </c>
      <c r="C132" t="s">
        <v>8</v>
      </c>
    </row>
    <row r="133" spans="1:3" x14ac:dyDescent="0.25">
      <c r="A133" t="s">
        <v>83</v>
      </c>
      <c r="B133" t="s">
        <v>42</v>
      </c>
      <c r="C133" t="s">
        <v>42</v>
      </c>
    </row>
    <row r="134" spans="1:3" x14ac:dyDescent="0.25">
      <c r="A134" t="s">
        <v>84</v>
      </c>
      <c r="B134" t="s">
        <v>4</v>
      </c>
      <c r="C134" t="s">
        <v>8</v>
      </c>
    </row>
    <row r="135" spans="1:3" x14ac:dyDescent="0.25">
      <c r="A135" t="s">
        <v>84</v>
      </c>
      <c r="B135" t="s">
        <v>4</v>
      </c>
      <c r="C135" t="s">
        <v>19</v>
      </c>
    </row>
    <row r="136" spans="1:3" x14ac:dyDescent="0.25">
      <c r="A136" t="s">
        <v>84</v>
      </c>
      <c r="B136" t="s">
        <v>4</v>
      </c>
      <c r="C136" t="s">
        <v>39</v>
      </c>
    </row>
    <row r="137" spans="1:3" x14ac:dyDescent="0.25">
      <c r="A137" t="s">
        <v>84</v>
      </c>
      <c r="B137" t="s">
        <v>4</v>
      </c>
      <c r="C137" t="s">
        <v>39</v>
      </c>
    </row>
    <row r="138" spans="1:3" x14ac:dyDescent="0.25">
      <c r="A138" t="s">
        <v>84</v>
      </c>
      <c r="B138" t="s">
        <v>4</v>
      </c>
      <c r="C138" t="s">
        <v>5</v>
      </c>
    </row>
    <row r="139" spans="1:3" x14ac:dyDescent="0.25">
      <c r="A139" t="s">
        <v>85</v>
      </c>
      <c r="B139" t="s">
        <v>13</v>
      </c>
      <c r="C139" t="s">
        <v>13</v>
      </c>
    </row>
    <row r="140" spans="1:3" x14ac:dyDescent="0.25">
      <c r="A140" t="s">
        <v>86</v>
      </c>
      <c r="B140" t="s">
        <v>4</v>
      </c>
      <c r="C140" t="s">
        <v>8</v>
      </c>
    </row>
    <row r="141" spans="1:3" x14ac:dyDescent="0.25">
      <c r="A141" t="s">
        <v>87</v>
      </c>
      <c r="B141" t="s">
        <v>13</v>
      </c>
      <c r="C141" t="s">
        <v>13</v>
      </c>
    </row>
    <row r="142" spans="1:3" x14ac:dyDescent="0.25">
      <c r="A142" t="s">
        <v>88</v>
      </c>
      <c r="B142" t="s">
        <v>13</v>
      </c>
      <c r="C142" t="s">
        <v>13</v>
      </c>
    </row>
    <row r="143" spans="1:3" x14ac:dyDescent="0.25">
      <c r="A143" t="s">
        <v>89</v>
      </c>
      <c r="B143" t="s">
        <v>4</v>
      </c>
      <c r="C143" t="s">
        <v>5</v>
      </c>
    </row>
    <row r="144" spans="1:3" x14ac:dyDescent="0.25">
      <c r="A144" t="s">
        <v>89</v>
      </c>
      <c r="B144" t="s">
        <v>4</v>
      </c>
      <c r="C144" t="s">
        <v>8</v>
      </c>
    </row>
    <row r="145" spans="1:3" x14ac:dyDescent="0.25">
      <c r="A145" t="s">
        <v>89</v>
      </c>
      <c r="B145" t="s">
        <v>18</v>
      </c>
      <c r="C145" t="s">
        <v>8</v>
      </c>
    </row>
    <row r="146" spans="1:3" x14ac:dyDescent="0.25">
      <c r="A146" t="s">
        <v>89</v>
      </c>
      <c r="B146" t="s">
        <v>4</v>
      </c>
      <c r="C14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45BA6-7E1B-420F-909A-4129056B58C2}">
  <dimension ref="A1:C120"/>
  <sheetViews>
    <sheetView workbookViewId="0"/>
  </sheetViews>
  <sheetFormatPr defaultRowHeight="15" x14ac:dyDescent="0.25"/>
  <cols>
    <col min="1" max="1" width="24.5703125" bestFit="1" customWidth="1"/>
    <col min="2" max="3" width="10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19</v>
      </c>
    </row>
    <row r="3" spans="1:3" x14ac:dyDescent="0.25">
      <c r="A3" t="s">
        <v>6</v>
      </c>
      <c r="B3" t="s">
        <v>13</v>
      </c>
      <c r="C3" t="s">
        <v>13</v>
      </c>
    </row>
    <row r="4" spans="1:3" x14ac:dyDescent="0.25">
      <c r="A4" t="s">
        <v>9</v>
      </c>
      <c r="B4" t="s">
        <v>4</v>
      </c>
      <c r="C4" t="s">
        <v>19</v>
      </c>
    </row>
    <row r="5" spans="1:3" x14ac:dyDescent="0.25">
      <c r="A5" t="s">
        <v>10</v>
      </c>
      <c r="B5" t="s">
        <v>4</v>
      </c>
      <c r="C5" t="s">
        <v>126</v>
      </c>
    </row>
    <row r="6" spans="1:3" x14ac:dyDescent="0.25">
      <c r="A6" t="s">
        <v>12</v>
      </c>
      <c r="B6" t="s">
        <v>13</v>
      </c>
      <c r="C6" t="s">
        <v>13</v>
      </c>
    </row>
    <row r="7" spans="1:3" x14ac:dyDescent="0.25">
      <c r="A7" t="s">
        <v>14</v>
      </c>
      <c r="B7" t="s">
        <v>13</v>
      </c>
      <c r="C7" t="s">
        <v>13</v>
      </c>
    </row>
    <row r="8" spans="1:3" x14ac:dyDescent="0.25">
      <c r="A8" t="s">
        <v>15</v>
      </c>
      <c r="B8" t="s">
        <v>13</v>
      </c>
      <c r="C8" t="s">
        <v>13</v>
      </c>
    </row>
    <row r="9" spans="1:3" x14ac:dyDescent="0.25">
      <c r="A9" t="s">
        <v>16</v>
      </c>
      <c r="B9" t="s">
        <v>13</v>
      </c>
      <c r="C9" t="s">
        <v>13</v>
      </c>
    </row>
    <row r="10" spans="1:3" x14ac:dyDescent="0.25">
      <c r="A10" t="s">
        <v>17</v>
      </c>
      <c r="B10" t="s">
        <v>7</v>
      </c>
      <c r="C10" t="s">
        <v>19</v>
      </c>
    </row>
    <row r="11" spans="1:3" x14ac:dyDescent="0.25">
      <c r="A11" t="s">
        <v>20</v>
      </c>
      <c r="B11" t="s">
        <v>13</v>
      </c>
      <c r="C11" t="s">
        <v>13</v>
      </c>
    </row>
    <row r="12" spans="1:3" x14ac:dyDescent="0.25">
      <c r="A12" t="s">
        <v>21</v>
      </c>
      <c r="B12" t="s">
        <v>13</v>
      </c>
      <c r="C12" t="s">
        <v>13</v>
      </c>
    </row>
    <row r="13" spans="1:3" x14ac:dyDescent="0.25">
      <c r="A13" t="s">
        <v>22</v>
      </c>
      <c r="B13" t="s">
        <v>4</v>
      </c>
      <c r="C13" t="s">
        <v>127</v>
      </c>
    </row>
    <row r="14" spans="1:3" x14ac:dyDescent="0.25">
      <c r="A14" t="s">
        <v>22</v>
      </c>
      <c r="B14" t="s">
        <v>4</v>
      </c>
      <c r="C14" t="s">
        <v>8</v>
      </c>
    </row>
    <row r="15" spans="1:3" x14ac:dyDescent="0.25">
      <c r="A15" t="s">
        <v>22</v>
      </c>
      <c r="B15" t="s">
        <v>4</v>
      </c>
      <c r="C15" t="s">
        <v>8</v>
      </c>
    </row>
    <row r="16" spans="1:3" x14ac:dyDescent="0.25">
      <c r="A16" t="s">
        <v>22</v>
      </c>
      <c r="B16" t="s">
        <v>4</v>
      </c>
      <c r="C16" t="s">
        <v>8</v>
      </c>
    </row>
    <row r="17" spans="1:3" x14ac:dyDescent="0.25">
      <c r="A17" t="s">
        <v>23</v>
      </c>
      <c r="B17" t="s">
        <v>13</v>
      </c>
      <c r="C17" t="s">
        <v>13</v>
      </c>
    </row>
    <row r="18" spans="1:3" x14ac:dyDescent="0.25">
      <c r="A18" t="s">
        <v>24</v>
      </c>
      <c r="B18" t="s">
        <v>13</v>
      </c>
      <c r="C18" t="s">
        <v>13</v>
      </c>
    </row>
    <row r="19" spans="1:3" x14ac:dyDescent="0.25">
      <c r="A19" t="s">
        <v>25</v>
      </c>
      <c r="B19" t="s">
        <v>13</v>
      </c>
      <c r="C19" t="s">
        <v>13</v>
      </c>
    </row>
    <row r="20" spans="1:3" x14ac:dyDescent="0.25">
      <c r="A20" t="s">
        <v>26</v>
      </c>
      <c r="B20" t="s">
        <v>13</v>
      </c>
      <c r="C20" t="s">
        <v>13</v>
      </c>
    </row>
    <row r="21" spans="1:3" x14ac:dyDescent="0.25">
      <c r="A21" t="s">
        <v>27</v>
      </c>
      <c r="B21" t="s">
        <v>18</v>
      </c>
      <c r="C21" t="s">
        <v>126</v>
      </c>
    </row>
    <row r="22" spans="1:3" x14ac:dyDescent="0.25">
      <c r="A22" t="s">
        <v>28</v>
      </c>
      <c r="B22" t="s">
        <v>4</v>
      </c>
      <c r="C22" t="s">
        <v>8</v>
      </c>
    </row>
    <row r="23" spans="1:3" x14ac:dyDescent="0.25">
      <c r="A23" t="s">
        <v>28</v>
      </c>
      <c r="B23" t="s">
        <v>4</v>
      </c>
      <c r="C23" t="s">
        <v>8</v>
      </c>
    </row>
    <row r="24" spans="1:3" x14ac:dyDescent="0.25">
      <c r="A24" t="s">
        <v>28</v>
      </c>
      <c r="B24" t="s">
        <v>4</v>
      </c>
      <c r="C24" t="s">
        <v>8</v>
      </c>
    </row>
    <row r="25" spans="1:3" x14ac:dyDescent="0.25">
      <c r="A25" t="s">
        <v>28</v>
      </c>
      <c r="B25" t="s">
        <v>4</v>
      </c>
      <c r="C25" t="s">
        <v>8</v>
      </c>
    </row>
    <row r="26" spans="1:3" x14ac:dyDescent="0.25">
      <c r="A26" t="s">
        <v>29</v>
      </c>
      <c r="B26" t="s">
        <v>18</v>
      </c>
      <c r="C26" t="s">
        <v>8</v>
      </c>
    </row>
    <row r="27" spans="1:3" x14ac:dyDescent="0.25">
      <c r="A27" t="s">
        <v>30</v>
      </c>
      <c r="B27" t="s">
        <v>13</v>
      </c>
      <c r="C27" t="s">
        <v>13</v>
      </c>
    </row>
    <row r="28" spans="1:3" x14ac:dyDescent="0.25">
      <c r="A28" t="s">
        <v>31</v>
      </c>
      <c r="B28" t="s">
        <v>4</v>
      </c>
      <c r="C28" t="s">
        <v>126</v>
      </c>
    </row>
    <row r="29" spans="1:3" x14ac:dyDescent="0.25">
      <c r="A29" t="s">
        <v>31</v>
      </c>
      <c r="B29" t="s">
        <v>4</v>
      </c>
      <c r="C29" t="s">
        <v>19</v>
      </c>
    </row>
    <row r="30" spans="1:3" x14ac:dyDescent="0.25">
      <c r="A30" t="s">
        <v>31</v>
      </c>
      <c r="B30" t="s">
        <v>4</v>
      </c>
      <c r="C30" t="s">
        <v>19</v>
      </c>
    </row>
    <row r="31" spans="1:3" x14ac:dyDescent="0.25">
      <c r="A31" t="s">
        <v>31</v>
      </c>
      <c r="B31" t="s">
        <v>4</v>
      </c>
      <c r="C31" t="s">
        <v>8</v>
      </c>
    </row>
    <row r="32" spans="1:3" x14ac:dyDescent="0.25">
      <c r="A32" t="s">
        <v>31</v>
      </c>
      <c r="B32" t="s">
        <v>4</v>
      </c>
      <c r="C32" t="s">
        <v>8</v>
      </c>
    </row>
    <row r="33" spans="1:3" x14ac:dyDescent="0.25">
      <c r="A33" t="s">
        <v>31</v>
      </c>
      <c r="B33" t="s">
        <v>4</v>
      </c>
      <c r="C33" t="s">
        <v>8</v>
      </c>
    </row>
    <row r="34" spans="1:3" x14ac:dyDescent="0.25">
      <c r="A34" t="s">
        <v>31</v>
      </c>
      <c r="B34" t="s">
        <v>4</v>
      </c>
      <c r="C34" t="s">
        <v>8</v>
      </c>
    </row>
    <row r="35" spans="1:3" x14ac:dyDescent="0.25">
      <c r="A35" t="s">
        <v>32</v>
      </c>
      <c r="B35" t="s">
        <v>13</v>
      </c>
      <c r="C35" t="s">
        <v>13</v>
      </c>
    </row>
    <row r="36" spans="1:3" x14ac:dyDescent="0.25">
      <c r="A36" t="s">
        <v>33</v>
      </c>
      <c r="B36" t="s">
        <v>13</v>
      </c>
      <c r="C36" t="s">
        <v>13</v>
      </c>
    </row>
    <row r="37" spans="1:3" x14ac:dyDescent="0.25">
      <c r="A37" t="s">
        <v>34</v>
      </c>
      <c r="B37" t="s">
        <v>13</v>
      </c>
      <c r="C37" t="s">
        <v>13</v>
      </c>
    </row>
    <row r="38" spans="1:3" x14ac:dyDescent="0.25">
      <c r="A38" t="s">
        <v>35</v>
      </c>
      <c r="B38" t="s">
        <v>13</v>
      </c>
      <c r="C38" t="s">
        <v>13</v>
      </c>
    </row>
    <row r="39" spans="1:3" x14ac:dyDescent="0.25">
      <c r="A39" t="s">
        <v>36</v>
      </c>
      <c r="B39" t="s">
        <v>13</v>
      </c>
      <c r="C39" t="s">
        <v>13</v>
      </c>
    </row>
    <row r="40" spans="1:3" x14ac:dyDescent="0.25">
      <c r="A40" t="s">
        <v>37</v>
      </c>
      <c r="B40" t="s">
        <v>13</v>
      </c>
      <c r="C40" t="s">
        <v>13</v>
      </c>
    </row>
    <row r="41" spans="1:3" x14ac:dyDescent="0.25">
      <c r="A41" t="s">
        <v>38</v>
      </c>
      <c r="B41" t="s">
        <v>18</v>
      </c>
      <c r="C41" t="s">
        <v>126</v>
      </c>
    </row>
    <row r="42" spans="1:3" x14ac:dyDescent="0.25">
      <c r="A42" t="s">
        <v>38</v>
      </c>
      <c r="B42" t="s">
        <v>4</v>
      </c>
      <c r="C42" t="s">
        <v>19</v>
      </c>
    </row>
    <row r="43" spans="1:3" x14ac:dyDescent="0.25">
      <c r="A43" t="s">
        <v>38</v>
      </c>
      <c r="B43" t="s">
        <v>18</v>
      </c>
      <c r="C43" t="s">
        <v>8</v>
      </c>
    </row>
    <row r="44" spans="1:3" x14ac:dyDescent="0.25">
      <c r="A44" t="s">
        <v>38</v>
      </c>
      <c r="B44" t="s">
        <v>4</v>
      </c>
      <c r="C44" t="s">
        <v>8</v>
      </c>
    </row>
    <row r="45" spans="1:3" x14ac:dyDescent="0.25">
      <c r="A45" t="s">
        <v>38</v>
      </c>
      <c r="B45" t="s">
        <v>18</v>
      </c>
      <c r="C45" t="s">
        <v>8</v>
      </c>
    </row>
    <row r="46" spans="1:3" x14ac:dyDescent="0.25">
      <c r="A46" t="s">
        <v>38</v>
      </c>
      <c r="B46" t="s">
        <v>4</v>
      </c>
      <c r="C46" t="s">
        <v>8</v>
      </c>
    </row>
    <row r="47" spans="1:3" x14ac:dyDescent="0.25">
      <c r="A47" t="s">
        <v>38</v>
      </c>
      <c r="B47" t="s">
        <v>18</v>
      </c>
      <c r="C47" t="s">
        <v>8</v>
      </c>
    </row>
    <row r="48" spans="1:3" x14ac:dyDescent="0.25">
      <c r="A48" t="s">
        <v>38</v>
      </c>
      <c r="B48" t="s">
        <v>4</v>
      </c>
      <c r="C48" t="s">
        <v>8</v>
      </c>
    </row>
    <row r="49" spans="1:3" x14ac:dyDescent="0.25">
      <c r="A49" t="s">
        <v>38</v>
      </c>
      <c r="B49" t="s">
        <v>18</v>
      </c>
      <c r="C49" t="s">
        <v>8</v>
      </c>
    </row>
    <row r="50" spans="1:3" x14ac:dyDescent="0.25">
      <c r="A50" t="s">
        <v>38</v>
      </c>
      <c r="B50" t="s">
        <v>4</v>
      </c>
      <c r="C50" t="s">
        <v>8</v>
      </c>
    </row>
    <row r="51" spans="1:3" x14ac:dyDescent="0.25">
      <c r="A51" t="s">
        <v>40</v>
      </c>
      <c r="B51" t="s">
        <v>4</v>
      </c>
      <c r="C51" t="s">
        <v>8</v>
      </c>
    </row>
    <row r="52" spans="1:3" x14ac:dyDescent="0.25">
      <c r="A52" t="s">
        <v>41</v>
      </c>
      <c r="B52" t="s">
        <v>42</v>
      </c>
      <c r="C52" t="s">
        <v>42</v>
      </c>
    </row>
    <row r="53" spans="1:3" x14ac:dyDescent="0.25">
      <c r="A53" t="s">
        <v>43</v>
      </c>
      <c r="B53" t="s">
        <v>4</v>
      </c>
      <c r="C53" t="s">
        <v>126</v>
      </c>
    </row>
    <row r="54" spans="1:3" x14ac:dyDescent="0.25">
      <c r="A54" t="s">
        <v>44</v>
      </c>
      <c r="B54" t="s">
        <v>13</v>
      </c>
      <c r="C54" t="s">
        <v>13</v>
      </c>
    </row>
    <row r="55" spans="1:3" x14ac:dyDescent="0.25">
      <c r="A55" t="s">
        <v>45</v>
      </c>
      <c r="B55" t="s">
        <v>13</v>
      </c>
      <c r="C55" t="s">
        <v>13</v>
      </c>
    </row>
    <row r="56" spans="1:3" x14ac:dyDescent="0.25">
      <c r="A56" t="s">
        <v>46</v>
      </c>
      <c r="B56" t="s">
        <v>13</v>
      </c>
      <c r="C56" t="s">
        <v>13</v>
      </c>
    </row>
    <row r="57" spans="1:3" x14ac:dyDescent="0.25">
      <c r="A57" t="s">
        <v>47</v>
      </c>
      <c r="B57" t="s">
        <v>42</v>
      </c>
      <c r="C57" t="s">
        <v>42</v>
      </c>
    </row>
    <row r="58" spans="1:3" x14ac:dyDescent="0.25">
      <c r="A58" t="s">
        <v>48</v>
      </c>
      <c r="B58" t="s">
        <v>4</v>
      </c>
      <c r="C58" t="s">
        <v>19</v>
      </c>
    </row>
    <row r="59" spans="1:3" x14ac:dyDescent="0.25">
      <c r="A59" t="s">
        <v>49</v>
      </c>
      <c r="B59" t="s">
        <v>13</v>
      </c>
      <c r="C59" t="s">
        <v>13</v>
      </c>
    </row>
    <row r="60" spans="1:3" x14ac:dyDescent="0.25">
      <c r="A60" t="s">
        <v>50</v>
      </c>
      <c r="B60" t="s">
        <v>13</v>
      </c>
      <c r="C60" t="s">
        <v>13</v>
      </c>
    </row>
    <row r="61" spans="1:3" x14ac:dyDescent="0.25">
      <c r="A61" t="s">
        <v>51</v>
      </c>
      <c r="B61" t="s">
        <v>4</v>
      </c>
      <c r="C61" t="s">
        <v>19</v>
      </c>
    </row>
    <row r="62" spans="1:3" x14ac:dyDescent="0.25">
      <c r="A62" t="s">
        <v>52</v>
      </c>
      <c r="B62" t="s">
        <v>7</v>
      </c>
      <c r="C62" t="s">
        <v>19</v>
      </c>
    </row>
    <row r="63" spans="1:3" x14ac:dyDescent="0.25">
      <c r="A63" t="s">
        <v>52</v>
      </c>
      <c r="B63" t="s">
        <v>4</v>
      </c>
      <c r="C63" t="s">
        <v>19</v>
      </c>
    </row>
    <row r="64" spans="1:3" x14ac:dyDescent="0.25">
      <c r="A64" t="s">
        <v>53</v>
      </c>
      <c r="B64" t="s">
        <v>4</v>
      </c>
      <c r="C64" t="s">
        <v>126</v>
      </c>
    </row>
    <row r="65" spans="1:3" x14ac:dyDescent="0.25">
      <c r="A65" t="s">
        <v>53</v>
      </c>
      <c r="B65" t="s">
        <v>18</v>
      </c>
      <c r="C65" t="s">
        <v>19</v>
      </c>
    </row>
    <row r="66" spans="1:3" x14ac:dyDescent="0.25">
      <c r="A66" t="s">
        <v>54</v>
      </c>
      <c r="B66" t="s">
        <v>13</v>
      </c>
      <c r="C66" t="s">
        <v>13</v>
      </c>
    </row>
    <row r="67" spans="1:3" x14ac:dyDescent="0.25">
      <c r="A67" t="s">
        <v>55</v>
      </c>
      <c r="B67" t="s">
        <v>13</v>
      </c>
      <c r="C67" t="s">
        <v>13</v>
      </c>
    </row>
    <row r="68" spans="1:3" x14ac:dyDescent="0.25">
      <c r="A68" t="s">
        <v>56</v>
      </c>
      <c r="B68" t="s">
        <v>13</v>
      </c>
      <c r="C68" t="s">
        <v>13</v>
      </c>
    </row>
    <row r="69" spans="1:3" x14ac:dyDescent="0.25">
      <c r="A69" t="s">
        <v>57</v>
      </c>
      <c r="B69" t="s">
        <v>13</v>
      </c>
      <c r="C69" t="s">
        <v>13</v>
      </c>
    </row>
    <row r="70" spans="1:3" x14ac:dyDescent="0.25">
      <c r="A70" t="s">
        <v>58</v>
      </c>
      <c r="B70" t="s">
        <v>13</v>
      </c>
      <c r="C70" t="s">
        <v>13</v>
      </c>
    </row>
    <row r="71" spans="1:3" x14ac:dyDescent="0.25">
      <c r="A71" t="s">
        <v>59</v>
      </c>
      <c r="B71" t="s">
        <v>4</v>
      </c>
      <c r="C71" t="s">
        <v>19</v>
      </c>
    </row>
    <row r="72" spans="1:3" x14ac:dyDescent="0.25">
      <c r="A72" t="s">
        <v>59</v>
      </c>
      <c r="B72" t="s">
        <v>4</v>
      </c>
      <c r="C72" t="s">
        <v>19</v>
      </c>
    </row>
    <row r="73" spans="1:3" x14ac:dyDescent="0.25">
      <c r="A73" t="s">
        <v>59</v>
      </c>
      <c r="B73" t="s">
        <v>4</v>
      </c>
      <c r="C73" t="s">
        <v>19</v>
      </c>
    </row>
    <row r="74" spans="1:3" x14ac:dyDescent="0.25">
      <c r="A74" t="s">
        <v>60</v>
      </c>
      <c r="B74" t="s">
        <v>13</v>
      </c>
      <c r="C74" t="s">
        <v>13</v>
      </c>
    </row>
    <row r="75" spans="1:3" x14ac:dyDescent="0.25">
      <c r="A75" t="s">
        <v>61</v>
      </c>
      <c r="B75" t="s">
        <v>18</v>
      </c>
      <c r="C75" t="s">
        <v>8</v>
      </c>
    </row>
    <row r="76" spans="1:3" x14ac:dyDescent="0.25">
      <c r="A76" t="s">
        <v>62</v>
      </c>
      <c r="B76" t="s">
        <v>13</v>
      </c>
      <c r="C76" t="s">
        <v>13</v>
      </c>
    </row>
    <row r="77" spans="1:3" x14ac:dyDescent="0.25">
      <c r="A77" t="s">
        <v>63</v>
      </c>
      <c r="B77" t="s">
        <v>13</v>
      </c>
      <c r="C77" t="s">
        <v>13</v>
      </c>
    </row>
    <row r="78" spans="1:3" x14ac:dyDescent="0.25">
      <c r="A78" t="s">
        <v>64</v>
      </c>
      <c r="B78" t="s">
        <v>13</v>
      </c>
      <c r="C78" t="s">
        <v>13</v>
      </c>
    </row>
    <row r="79" spans="1:3" x14ac:dyDescent="0.25">
      <c r="A79" t="s">
        <v>65</v>
      </c>
      <c r="B79" t="s">
        <v>4</v>
      </c>
      <c r="C79" t="s">
        <v>127</v>
      </c>
    </row>
    <row r="80" spans="1:3" x14ac:dyDescent="0.25">
      <c r="A80" t="s">
        <v>65</v>
      </c>
      <c r="B80" t="s">
        <v>4</v>
      </c>
      <c r="C80" t="s">
        <v>11</v>
      </c>
    </row>
    <row r="81" spans="1:3" x14ac:dyDescent="0.25">
      <c r="A81" t="s">
        <v>65</v>
      </c>
      <c r="B81" t="s">
        <v>4</v>
      </c>
      <c r="C81" t="s">
        <v>11</v>
      </c>
    </row>
    <row r="82" spans="1:3" x14ac:dyDescent="0.25">
      <c r="A82" t="s">
        <v>65</v>
      </c>
      <c r="B82" t="s">
        <v>4</v>
      </c>
      <c r="C82" t="s">
        <v>19</v>
      </c>
    </row>
    <row r="83" spans="1:3" x14ac:dyDescent="0.25">
      <c r="A83" t="s">
        <v>66</v>
      </c>
      <c r="B83" t="s">
        <v>13</v>
      </c>
      <c r="C83" t="s">
        <v>13</v>
      </c>
    </row>
    <row r="84" spans="1:3" x14ac:dyDescent="0.25">
      <c r="A84" t="s">
        <v>67</v>
      </c>
      <c r="B84" t="s">
        <v>4</v>
      </c>
      <c r="C84" t="s">
        <v>126</v>
      </c>
    </row>
    <row r="85" spans="1:3" x14ac:dyDescent="0.25">
      <c r="A85" t="s">
        <v>67</v>
      </c>
      <c r="B85" t="s">
        <v>7</v>
      </c>
      <c r="C85" t="s">
        <v>19</v>
      </c>
    </row>
    <row r="86" spans="1:3" x14ac:dyDescent="0.25">
      <c r="A86" t="s">
        <v>67</v>
      </c>
      <c r="B86" t="s">
        <v>4</v>
      </c>
      <c r="C86" t="s">
        <v>19</v>
      </c>
    </row>
    <row r="87" spans="1:3" x14ac:dyDescent="0.25">
      <c r="A87" t="s">
        <v>67</v>
      </c>
      <c r="B87" t="s">
        <v>4</v>
      </c>
      <c r="C87" t="s">
        <v>19</v>
      </c>
    </row>
    <row r="88" spans="1:3" x14ac:dyDescent="0.25">
      <c r="A88" t="s">
        <v>68</v>
      </c>
      <c r="B88" t="s">
        <v>13</v>
      </c>
      <c r="C88" t="s">
        <v>13</v>
      </c>
    </row>
    <row r="89" spans="1:3" x14ac:dyDescent="0.25">
      <c r="A89" t="s">
        <v>69</v>
      </c>
      <c r="B89" t="s">
        <v>4</v>
      </c>
      <c r="C89" t="s">
        <v>127</v>
      </c>
    </row>
    <row r="90" spans="1:3" x14ac:dyDescent="0.25">
      <c r="A90" t="s">
        <v>69</v>
      </c>
      <c r="B90" t="s">
        <v>4</v>
      </c>
      <c r="C90" t="s">
        <v>127</v>
      </c>
    </row>
    <row r="91" spans="1:3" x14ac:dyDescent="0.25">
      <c r="A91" t="s">
        <v>69</v>
      </c>
      <c r="B91" t="s">
        <v>4</v>
      </c>
      <c r="C91" t="s">
        <v>127</v>
      </c>
    </row>
    <row r="92" spans="1:3" x14ac:dyDescent="0.25">
      <c r="A92" t="s">
        <v>69</v>
      </c>
      <c r="B92" t="s">
        <v>4</v>
      </c>
      <c r="C92" t="s">
        <v>127</v>
      </c>
    </row>
    <row r="93" spans="1:3" x14ac:dyDescent="0.25">
      <c r="A93" t="s">
        <v>69</v>
      </c>
      <c r="B93" t="s">
        <v>4</v>
      </c>
      <c r="C93" t="s">
        <v>19</v>
      </c>
    </row>
    <row r="94" spans="1:3" x14ac:dyDescent="0.25">
      <c r="A94" t="s">
        <v>70</v>
      </c>
      <c r="B94" t="s">
        <v>4</v>
      </c>
      <c r="C94" t="s">
        <v>8</v>
      </c>
    </row>
    <row r="95" spans="1:3" x14ac:dyDescent="0.25">
      <c r="A95" t="s">
        <v>70</v>
      </c>
      <c r="B95" t="s">
        <v>4</v>
      </c>
      <c r="C95" t="s">
        <v>8</v>
      </c>
    </row>
    <row r="96" spans="1:3" x14ac:dyDescent="0.25">
      <c r="A96" t="s">
        <v>71</v>
      </c>
      <c r="B96" t="s">
        <v>13</v>
      </c>
      <c r="C96" t="s">
        <v>13</v>
      </c>
    </row>
    <row r="97" spans="1:3" x14ac:dyDescent="0.25">
      <c r="A97" t="s">
        <v>72</v>
      </c>
      <c r="B97" t="s">
        <v>42</v>
      </c>
      <c r="C97" t="s">
        <v>42</v>
      </c>
    </row>
    <row r="98" spans="1:3" x14ac:dyDescent="0.25">
      <c r="A98" t="s">
        <v>73</v>
      </c>
      <c r="B98" t="s">
        <v>13</v>
      </c>
      <c r="C98" t="s">
        <v>13</v>
      </c>
    </row>
    <row r="99" spans="1:3" x14ac:dyDescent="0.25">
      <c r="A99" t="s">
        <v>74</v>
      </c>
      <c r="B99" t="s">
        <v>13</v>
      </c>
      <c r="C99" t="s">
        <v>13</v>
      </c>
    </row>
    <row r="100" spans="1:3" x14ac:dyDescent="0.25">
      <c r="A100" t="s">
        <v>75</v>
      </c>
      <c r="B100" t="s">
        <v>13</v>
      </c>
      <c r="C100" t="s">
        <v>13</v>
      </c>
    </row>
    <row r="101" spans="1:3" x14ac:dyDescent="0.25">
      <c r="A101" t="s">
        <v>76</v>
      </c>
      <c r="B101" t="s">
        <v>13</v>
      </c>
      <c r="C101" t="s">
        <v>13</v>
      </c>
    </row>
    <row r="102" spans="1:3" x14ac:dyDescent="0.25">
      <c r="A102" t="s">
        <v>77</v>
      </c>
      <c r="B102" t="s">
        <v>13</v>
      </c>
      <c r="C102" t="s">
        <v>13</v>
      </c>
    </row>
    <row r="103" spans="1:3" x14ac:dyDescent="0.25">
      <c r="A103" t="s">
        <v>78</v>
      </c>
      <c r="B103" t="s">
        <v>13</v>
      </c>
      <c r="C103" t="s">
        <v>13</v>
      </c>
    </row>
    <row r="104" spans="1:3" x14ac:dyDescent="0.25">
      <c r="A104" t="s">
        <v>79</v>
      </c>
      <c r="B104" t="s">
        <v>4</v>
      </c>
      <c r="C104" t="s">
        <v>127</v>
      </c>
    </row>
    <row r="105" spans="1:3" x14ac:dyDescent="0.25">
      <c r="A105" t="s">
        <v>79</v>
      </c>
      <c r="B105" t="s">
        <v>4</v>
      </c>
      <c r="C105" t="s">
        <v>8</v>
      </c>
    </row>
    <row r="106" spans="1:3" x14ac:dyDescent="0.25">
      <c r="A106" t="s">
        <v>80</v>
      </c>
      <c r="B106" t="s">
        <v>13</v>
      </c>
      <c r="C106" t="s">
        <v>13</v>
      </c>
    </row>
    <row r="107" spans="1:3" x14ac:dyDescent="0.25">
      <c r="A107" t="s">
        <v>81</v>
      </c>
      <c r="B107" t="s">
        <v>13</v>
      </c>
      <c r="C107" t="s">
        <v>13</v>
      </c>
    </row>
    <row r="108" spans="1:3" x14ac:dyDescent="0.25">
      <c r="A108" t="s">
        <v>82</v>
      </c>
      <c r="B108" t="s">
        <v>13</v>
      </c>
      <c r="C108" t="s">
        <v>13</v>
      </c>
    </row>
    <row r="109" spans="1:3" x14ac:dyDescent="0.25">
      <c r="A109" t="s">
        <v>83</v>
      </c>
      <c r="B109" t="s">
        <v>42</v>
      </c>
      <c r="C109" t="s">
        <v>42</v>
      </c>
    </row>
    <row r="110" spans="1:3" x14ac:dyDescent="0.25">
      <c r="A110" t="s">
        <v>84</v>
      </c>
      <c r="B110" t="s">
        <v>4</v>
      </c>
      <c r="C110" t="s">
        <v>39</v>
      </c>
    </row>
    <row r="111" spans="1:3" x14ac:dyDescent="0.25">
      <c r="A111" t="s">
        <v>84</v>
      </c>
      <c r="B111" t="s">
        <v>4</v>
      </c>
      <c r="C111" t="s">
        <v>39</v>
      </c>
    </row>
    <row r="112" spans="1:3" x14ac:dyDescent="0.25">
      <c r="A112" t="s">
        <v>84</v>
      </c>
      <c r="B112" t="s">
        <v>4</v>
      </c>
      <c r="C112" t="s">
        <v>39</v>
      </c>
    </row>
    <row r="113" spans="1:3" x14ac:dyDescent="0.25">
      <c r="A113" t="s">
        <v>84</v>
      </c>
      <c r="B113" t="s">
        <v>4</v>
      </c>
      <c r="C113" t="s">
        <v>39</v>
      </c>
    </row>
    <row r="114" spans="1:3" x14ac:dyDescent="0.25">
      <c r="A114" t="s">
        <v>84</v>
      </c>
      <c r="B114" t="s">
        <v>4</v>
      </c>
      <c r="C114" t="s">
        <v>39</v>
      </c>
    </row>
    <row r="115" spans="1:3" x14ac:dyDescent="0.25">
      <c r="A115" t="s">
        <v>84</v>
      </c>
      <c r="B115" t="s">
        <v>4</v>
      </c>
      <c r="C115" t="s">
        <v>39</v>
      </c>
    </row>
    <row r="116" spans="1:3" x14ac:dyDescent="0.25">
      <c r="A116" t="s">
        <v>85</v>
      </c>
      <c r="B116" t="s">
        <v>13</v>
      </c>
      <c r="C116" t="s">
        <v>13</v>
      </c>
    </row>
    <row r="117" spans="1:3" x14ac:dyDescent="0.25">
      <c r="A117" t="s">
        <v>86</v>
      </c>
      <c r="B117" t="s">
        <v>13</v>
      </c>
      <c r="C117" t="s">
        <v>13</v>
      </c>
    </row>
    <row r="118" spans="1:3" x14ac:dyDescent="0.25">
      <c r="A118" t="s">
        <v>87</v>
      </c>
      <c r="B118" t="s">
        <v>13</v>
      </c>
      <c r="C118" t="s">
        <v>13</v>
      </c>
    </row>
    <row r="119" spans="1:3" x14ac:dyDescent="0.25">
      <c r="A119" t="s">
        <v>88</v>
      </c>
      <c r="B119" t="s">
        <v>13</v>
      </c>
      <c r="C119" t="s">
        <v>13</v>
      </c>
    </row>
    <row r="120" spans="1:3" x14ac:dyDescent="0.25">
      <c r="A120" t="s">
        <v>89</v>
      </c>
      <c r="B120" t="s">
        <v>4</v>
      </c>
      <c r="C1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B258-626D-4017-903A-DA468A45F563}">
  <dimension ref="A1:C108"/>
  <sheetViews>
    <sheetView workbookViewId="0"/>
  </sheetViews>
  <sheetFormatPr defaultRowHeight="15" x14ac:dyDescent="0.25"/>
  <cols>
    <col min="1" max="1" width="24.5703125" bestFit="1" customWidth="1"/>
    <col min="2" max="3" width="10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19</v>
      </c>
    </row>
    <row r="3" spans="1:3" x14ac:dyDescent="0.25">
      <c r="A3" t="s">
        <v>6</v>
      </c>
      <c r="B3" t="s">
        <v>13</v>
      </c>
      <c r="C3" t="s">
        <v>13</v>
      </c>
    </row>
    <row r="4" spans="1:3" x14ac:dyDescent="0.25">
      <c r="A4" t="s">
        <v>9</v>
      </c>
      <c r="B4" t="s">
        <v>4</v>
      </c>
      <c r="C4" t="s">
        <v>19</v>
      </c>
    </row>
    <row r="5" spans="1:3" x14ac:dyDescent="0.25">
      <c r="A5" t="s">
        <v>10</v>
      </c>
      <c r="B5" t="s">
        <v>4</v>
      </c>
      <c r="C5" t="s">
        <v>5</v>
      </c>
    </row>
    <row r="6" spans="1:3" x14ac:dyDescent="0.25">
      <c r="A6" t="s">
        <v>12</v>
      </c>
      <c r="B6" t="s">
        <v>13</v>
      </c>
      <c r="C6" t="s">
        <v>13</v>
      </c>
    </row>
    <row r="7" spans="1:3" x14ac:dyDescent="0.25">
      <c r="A7" t="s">
        <v>14</v>
      </c>
      <c r="B7" t="s">
        <v>13</v>
      </c>
      <c r="C7" t="s">
        <v>13</v>
      </c>
    </row>
    <row r="8" spans="1:3" x14ac:dyDescent="0.25">
      <c r="A8" t="s">
        <v>15</v>
      </c>
      <c r="B8" t="s">
        <v>13</v>
      </c>
      <c r="C8" t="s">
        <v>13</v>
      </c>
    </row>
    <row r="9" spans="1:3" x14ac:dyDescent="0.25">
      <c r="A9" t="s">
        <v>16</v>
      </c>
      <c r="B9" t="s">
        <v>13</v>
      </c>
      <c r="C9" t="s">
        <v>13</v>
      </c>
    </row>
    <row r="10" spans="1:3" x14ac:dyDescent="0.25">
      <c r="A10" t="s">
        <v>17</v>
      </c>
      <c r="B10" t="s">
        <v>7</v>
      </c>
      <c r="C10" t="s">
        <v>19</v>
      </c>
    </row>
    <row r="11" spans="1:3" x14ac:dyDescent="0.25">
      <c r="A11" t="s">
        <v>20</v>
      </c>
      <c r="B11" t="s">
        <v>13</v>
      </c>
      <c r="C11" t="s">
        <v>13</v>
      </c>
    </row>
    <row r="12" spans="1:3" x14ac:dyDescent="0.25">
      <c r="A12" t="s">
        <v>21</v>
      </c>
      <c r="B12" t="s">
        <v>13</v>
      </c>
      <c r="C12" t="s">
        <v>13</v>
      </c>
    </row>
    <row r="13" spans="1:3" x14ac:dyDescent="0.25">
      <c r="A13" t="s">
        <v>22</v>
      </c>
      <c r="B13" t="s">
        <v>4</v>
      </c>
      <c r="C13" t="s">
        <v>11</v>
      </c>
    </row>
    <row r="14" spans="1:3" x14ac:dyDescent="0.25">
      <c r="A14" t="s">
        <v>23</v>
      </c>
      <c r="B14" t="s">
        <v>13</v>
      </c>
      <c r="C14" t="s">
        <v>13</v>
      </c>
    </row>
    <row r="15" spans="1:3" x14ac:dyDescent="0.25">
      <c r="A15" t="s">
        <v>24</v>
      </c>
      <c r="B15" t="s">
        <v>13</v>
      </c>
      <c r="C15" t="s">
        <v>13</v>
      </c>
    </row>
    <row r="16" spans="1:3" x14ac:dyDescent="0.25">
      <c r="A16" t="s">
        <v>25</v>
      </c>
      <c r="B16" t="s">
        <v>13</v>
      </c>
      <c r="C16" t="s">
        <v>13</v>
      </c>
    </row>
    <row r="17" spans="1:3" x14ac:dyDescent="0.25">
      <c r="A17" t="s">
        <v>26</v>
      </c>
      <c r="B17" t="s">
        <v>13</v>
      </c>
      <c r="C17" t="s">
        <v>13</v>
      </c>
    </row>
    <row r="18" spans="1:3" x14ac:dyDescent="0.25">
      <c r="A18" t="s">
        <v>27</v>
      </c>
      <c r="B18" t="s">
        <v>18</v>
      </c>
      <c r="C18" t="s">
        <v>126</v>
      </c>
    </row>
    <row r="19" spans="1:3" x14ac:dyDescent="0.25">
      <c r="A19" t="s">
        <v>28</v>
      </c>
      <c r="B19" t="s">
        <v>13</v>
      </c>
      <c r="C19" t="s">
        <v>13</v>
      </c>
    </row>
    <row r="20" spans="1:3" x14ac:dyDescent="0.25">
      <c r="A20" t="s">
        <v>29</v>
      </c>
      <c r="B20" t="s">
        <v>13</v>
      </c>
      <c r="C20" t="s">
        <v>13</v>
      </c>
    </row>
    <row r="21" spans="1:3" x14ac:dyDescent="0.25">
      <c r="A21" t="s">
        <v>30</v>
      </c>
      <c r="B21" t="s">
        <v>13</v>
      </c>
      <c r="C21" t="s">
        <v>13</v>
      </c>
    </row>
    <row r="22" spans="1:3" x14ac:dyDescent="0.25">
      <c r="A22" t="s">
        <v>31</v>
      </c>
      <c r="B22" t="s">
        <v>4</v>
      </c>
      <c r="C22" t="s">
        <v>5</v>
      </c>
    </row>
    <row r="23" spans="1:3" x14ac:dyDescent="0.25">
      <c r="A23" t="s">
        <v>31</v>
      </c>
      <c r="B23" t="s">
        <v>4</v>
      </c>
      <c r="C23" t="s">
        <v>19</v>
      </c>
    </row>
    <row r="24" spans="1:3" x14ac:dyDescent="0.25">
      <c r="A24" t="s">
        <v>31</v>
      </c>
      <c r="B24" t="s">
        <v>4</v>
      </c>
      <c r="C24" t="s">
        <v>19</v>
      </c>
    </row>
    <row r="25" spans="1:3" x14ac:dyDescent="0.25">
      <c r="A25" t="s">
        <v>32</v>
      </c>
      <c r="B25" t="s">
        <v>13</v>
      </c>
      <c r="C25" t="s">
        <v>13</v>
      </c>
    </row>
    <row r="26" spans="1:3" x14ac:dyDescent="0.25">
      <c r="A26" t="s">
        <v>33</v>
      </c>
      <c r="B26" t="s">
        <v>13</v>
      </c>
      <c r="C26" t="s">
        <v>13</v>
      </c>
    </row>
    <row r="27" spans="1:3" x14ac:dyDescent="0.25">
      <c r="A27" t="s">
        <v>34</v>
      </c>
      <c r="B27" t="s">
        <v>13</v>
      </c>
      <c r="C27" t="s">
        <v>13</v>
      </c>
    </row>
    <row r="28" spans="1:3" x14ac:dyDescent="0.25">
      <c r="A28" t="s">
        <v>35</v>
      </c>
      <c r="B28" t="s">
        <v>13</v>
      </c>
      <c r="C28" t="s">
        <v>13</v>
      </c>
    </row>
    <row r="29" spans="1:3" x14ac:dyDescent="0.25">
      <c r="A29" t="s">
        <v>36</v>
      </c>
      <c r="B29" t="s">
        <v>13</v>
      </c>
      <c r="C29" t="s">
        <v>13</v>
      </c>
    </row>
    <row r="30" spans="1:3" x14ac:dyDescent="0.25">
      <c r="A30" t="s">
        <v>37</v>
      </c>
      <c r="B30" t="s">
        <v>13</v>
      </c>
      <c r="C30" t="s">
        <v>13</v>
      </c>
    </row>
    <row r="31" spans="1:3" x14ac:dyDescent="0.25">
      <c r="A31" t="s">
        <v>38</v>
      </c>
      <c r="B31" t="s">
        <v>18</v>
      </c>
      <c r="C31" t="s">
        <v>5</v>
      </c>
    </row>
    <row r="32" spans="1:3" x14ac:dyDescent="0.25">
      <c r="A32" t="s">
        <v>38</v>
      </c>
      <c r="B32" t="s">
        <v>4</v>
      </c>
      <c r="C32" t="s">
        <v>8</v>
      </c>
    </row>
    <row r="33" spans="1:3" x14ac:dyDescent="0.25">
      <c r="A33" t="s">
        <v>38</v>
      </c>
      <c r="B33" t="s">
        <v>18</v>
      </c>
      <c r="C33" t="s">
        <v>8</v>
      </c>
    </row>
    <row r="34" spans="1:3" x14ac:dyDescent="0.25">
      <c r="A34" t="s">
        <v>38</v>
      </c>
      <c r="B34" t="s">
        <v>4</v>
      </c>
      <c r="C34" t="s">
        <v>8</v>
      </c>
    </row>
    <row r="35" spans="1:3" x14ac:dyDescent="0.25">
      <c r="A35" t="s">
        <v>38</v>
      </c>
      <c r="B35" t="s">
        <v>18</v>
      </c>
      <c r="C35" t="s">
        <v>8</v>
      </c>
    </row>
    <row r="36" spans="1:3" x14ac:dyDescent="0.25">
      <c r="A36" t="s">
        <v>38</v>
      </c>
      <c r="B36" t="s">
        <v>4</v>
      </c>
      <c r="C36" t="s">
        <v>8</v>
      </c>
    </row>
    <row r="37" spans="1:3" x14ac:dyDescent="0.25">
      <c r="A37" t="s">
        <v>38</v>
      </c>
      <c r="B37" t="s">
        <v>18</v>
      </c>
      <c r="C37" t="s">
        <v>8</v>
      </c>
    </row>
    <row r="38" spans="1:3" x14ac:dyDescent="0.25">
      <c r="A38" t="s">
        <v>38</v>
      </c>
      <c r="B38" t="s">
        <v>4</v>
      </c>
      <c r="C38" t="s">
        <v>8</v>
      </c>
    </row>
    <row r="39" spans="1:3" x14ac:dyDescent="0.25">
      <c r="A39" t="s">
        <v>38</v>
      </c>
      <c r="B39" t="s">
        <v>18</v>
      </c>
      <c r="C39" t="s">
        <v>8</v>
      </c>
    </row>
    <row r="40" spans="1:3" x14ac:dyDescent="0.25">
      <c r="A40" t="s">
        <v>38</v>
      </c>
      <c r="B40" t="s">
        <v>4</v>
      </c>
      <c r="C40" t="s">
        <v>8</v>
      </c>
    </row>
    <row r="41" spans="1:3" x14ac:dyDescent="0.25">
      <c r="A41" t="s">
        <v>40</v>
      </c>
      <c r="B41" t="s">
        <v>13</v>
      </c>
      <c r="C41" t="s">
        <v>13</v>
      </c>
    </row>
    <row r="42" spans="1:3" x14ac:dyDescent="0.25">
      <c r="A42" t="s">
        <v>41</v>
      </c>
      <c r="B42" t="s">
        <v>42</v>
      </c>
      <c r="C42" t="s">
        <v>42</v>
      </c>
    </row>
    <row r="43" spans="1:3" x14ac:dyDescent="0.25">
      <c r="A43" t="s">
        <v>43</v>
      </c>
      <c r="B43" t="s">
        <v>4</v>
      </c>
      <c r="C43" t="s">
        <v>5</v>
      </c>
    </row>
    <row r="44" spans="1:3" x14ac:dyDescent="0.25">
      <c r="A44" t="s">
        <v>44</v>
      </c>
      <c r="B44" t="s">
        <v>13</v>
      </c>
      <c r="C44" t="s">
        <v>13</v>
      </c>
    </row>
    <row r="45" spans="1:3" x14ac:dyDescent="0.25">
      <c r="A45" t="s">
        <v>45</v>
      </c>
      <c r="B45" t="s">
        <v>13</v>
      </c>
      <c r="C45" t="s">
        <v>13</v>
      </c>
    </row>
    <row r="46" spans="1:3" x14ac:dyDescent="0.25">
      <c r="A46" t="s">
        <v>46</v>
      </c>
      <c r="B46" t="s">
        <v>13</v>
      </c>
      <c r="C46" t="s">
        <v>13</v>
      </c>
    </row>
    <row r="47" spans="1:3" x14ac:dyDescent="0.25">
      <c r="A47" t="s">
        <v>47</v>
      </c>
      <c r="B47" t="s">
        <v>42</v>
      </c>
      <c r="C47" t="s">
        <v>42</v>
      </c>
    </row>
    <row r="48" spans="1:3" x14ac:dyDescent="0.25">
      <c r="A48" t="s">
        <v>48</v>
      </c>
      <c r="B48" t="s">
        <v>4</v>
      </c>
      <c r="C48" t="s">
        <v>19</v>
      </c>
    </row>
    <row r="49" spans="1:3" x14ac:dyDescent="0.25">
      <c r="A49" t="s">
        <v>49</v>
      </c>
      <c r="B49" t="s">
        <v>13</v>
      </c>
      <c r="C49" t="s">
        <v>13</v>
      </c>
    </row>
    <row r="50" spans="1:3" x14ac:dyDescent="0.25">
      <c r="A50" t="s">
        <v>50</v>
      </c>
      <c r="B50" t="s">
        <v>13</v>
      </c>
      <c r="C50" t="s">
        <v>13</v>
      </c>
    </row>
    <row r="51" spans="1:3" x14ac:dyDescent="0.25">
      <c r="A51" t="s">
        <v>51</v>
      </c>
      <c r="B51" t="s">
        <v>4</v>
      </c>
      <c r="C51" t="s">
        <v>19</v>
      </c>
    </row>
    <row r="52" spans="1:3" x14ac:dyDescent="0.25">
      <c r="A52" t="s">
        <v>52</v>
      </c>
      <c r="B52" t="s">
        <v>7</v>
      </c>
      <c r="C52" t="s">
        <v>19</v>
      </c>
    </row>
    <row r="53" spans="1:3" x14ac:dyDescent="0.25">
      <c r="A53" t="s">
        <v>52</v>
      </c>
      <c r="B53" t="s">
        <v>4</v>
      </c>
      <c r="C53" t="s">
        <v>19</v>
      </c>
    </row>
    <row r="54" spans="1:3" x14ac:dyDescent="0.25">
      <c r="A54" t="s">
        <v>53</v>
      </c>
      <c r="B54" t="s">
        <v>4</v>
      </c>
      <c r="C54" t="s">
        <v>5</v>
      </c>
    </row>
    <row r="55" spans="1:3" x14ac:dyDescent="0.25">
      <c r="A55" t="s">
        <v>53</v>
      </c>
      <c r="B55" t="s">
        <v>18</v>
      </c>
      <c r="C55" t="s">
        <v>19</v>
      </c>
    </row>
    <row r="56" spans="1:3" x14ac:dyDescent="0.25">
      <c r="A56" t="s">
        <v>54</v>
      </c>
      <c r="B56" t="s">
        <v>13</v>
      </c>
      <c r="C56" t="s">
        <v>13</v>
      </c>
    </row>
    <row r="57" spans="1:3" x14ac:dyDescent="0.25">
      <c r="A57" t="s">
        <v>55</v>
      </c>
      <c r="B57" t="s">
        <v>13</v>
      </c>
      <c r="C57" t="s">
        <v>13</v>
      </c>
    </row>
    <row r="58" spans="1:3" x14ac:dyDescent="0.25">
      <c r="A58" t="s">
        <v>56</v>
      </c>
      <c r="B58" t="s">
        <v>13</v>
      </c>
      <c r="C58" t="s">
        <v>13</v>
      </c>
    </row>
    <row r="59" spans="1:3" x14ac:dyDescent="0.25">
      <c r="A59" t="s">
        <v>57</v>
      </c>
      <c r="B59" t="s">
        <v>13</v>
      </c>
      <c r="C59" t="s">
        <v>13</v>
      </c>
    </row>
    <row r="60" spans="1:3" x14ac:dyDescent="0.25">
      <c r="A60" t="s">
        <v>58</v>
      </c>
      <c r="B60" t="s">
        <v>13</v>
      </c>
      <c r="C60" t="s">
        <v>13</v>
      </c>
    </row>
    <row r="61" spans="1:3" x14ac:dyDescent="0.25">
      <c r="A61" t="s">
        <v>59</v>
      </c>
      <c r="B61" t="s">
        <v>4</v>
      </c>
      <c r="C61" t="s">
        <v>19</v>
      </c>
    </row>
    <row r="62" spans="1:3" x14ac:dyDescent="0.25">
      <c r="A62" t="s">
        <v>59</v>
      </c>
      <c r="B62" t="s">
        <v>4</v>
      </c>
      <c r="C62" t="s">
        <v>19</v>
      </c>
    </row>
    <row r="63" spans="1:3" x14ac:dyDescent="0.25">
      <c r="A63" t="s">
        <v>59</v>
      </c>
      <c r="B63" t="s">
        <v>4</v>
      </c>
      <c r="C63" t="s">
        <v>8</v>
      </c>
    </row>
    <row r="64" spans="1:3" x14ac:dyDescent="0.25">
      <c r="A64" t="s">
        <v>60</v>
      </c>
      <c r="B64" t="s">
        <v>13</v>
      </c>
      <c r="C64" t="s">
        <v>13</v>
      </c>
    </row>
    <row r="65" spans="1:3" x14ac:dyDescent="0.25">
      <c r="A65" t="s">
        <v>61</v>
      </c>
      <c r="B65" t="s">
        <v>13</v>
      </c>
      <c r="C65" t="s">
        <v>13</v>
      </c>
    </row>
    <row r="66" spans="1:3" x14ac:dyDescent="0.25">
      <c r="A66" t="s">
        <v>62</v>
      </c>
      <c r="B66" t="s">
        <v>13</v>
      </c>
      <c r="C66" t="s">
        <v>13</v>
      </c>
    </row>
    <row r="67" spans="1:3" x14ac:dyDescent="0.25">
      <c r="A67" t="s">
        <v>63</v>
      </c>
      <c r="B67" t="s">
        <v>13</v>
      </c>
      <c r="C67" t="s">
        <v>13</v>
      </c>
    </row>
    <row r="68" spans="1:3" x14ac:dyDescent="0.25">
      <c r="A68" t="s">
        <v>64</v>
      </c>
      <c r="B68" t="s">
        <v>13</v>
      </c>
      <c r="C68" t="s">
        <v>13</v>
      </c>
    </row>
    <row r="69" spans="1:3" x14ac:dyDescent="0.25">
      <c r="A69" t="s">
        <v>65</v>
      </c>
      <c r="B69" t="s">
        <v>4</v>
      </c>
      <c r="C69" t="s">
        <v>11</v>
      </c>
    </row>
    <row r="70" spans="1:3" x14ac:dyDescent="0.25">
      <c r="A70" t="s">
        <v>65</v>
      </c>
      <c r="B70" t="s">
        <v>4</v>
      </c>
      <c r="C70" t="s">
        <v>11</v>
      </c>
    </row>
    <row r="71" spans="1:3" x14ac:dyDescent="0.25">
      <c r="A71" t="s">
        <v>65</v>
      </c>
      <c r="B71" t="s">
        <v>4</v>
      </c>
      <c r="C71" t="s">
        <v>11</v>
      </c>
    </row>
    <row r="72" spans="1:3" x14ac:dyDescent="0.25">
      <c r="A72" t="s">
        <v>65</v>
      </c>
      <c r="B72" t="s">
        <v>4</v>
      </c>
      <c r="C72" t="s">
        <v>19</v>
      </c>
    </row>
    <row r="73" spans="1:3" x14ac:dyDescent="0.25">
      <c r="A73" t="s">
        <v>66</v>
      </c>
      <c r="B73" t="s">
        <v>13</v>
      </c>
      <c r="C73" t="s">
        <v>13</v>
      </c>
    </row>
    <row r="74" spans="1:3" x14ac:dyDescent="0.25">
      <c r="A74" t="s">
        <v>67</v>
      </c>
      <c r="B74" t="s">
        <v>4</v>
      </c>
      <c r="C74" t="s">
        <v>5</v>
      </c>
    </row>
    <row r="75" spans="1:3" x14ac:dyDescent="0.25">
      <c r="A75" t="s">
        <v>67</v>
      </c>
      <c r="B75" t="s">
        <v>7</v>
      </c>
      <c r="C75" t="s">
        <v>19</v>
      </c>
    </row>
    <row r="76" spans="1:3" x14ac:dyDescent="0.25">
      <c r="A76" t="s">
        <v>67</v>
      </c>
      <c r="B76" t="s">
        <v>4</v>
      </c>
      <c r="C76" t="s">
        <v>19</v>
      </c>
    </row>
    <row r="77" spans="1:3" x14ac:dyDescent="0.25">
      <c r="A77" t="s">
        <v>67</v>
      </c>
      <c r="B77" t="s">
        <v>4</v>
      </c>
      <c r="C77" t="s">
        <v>8</v>
      </c>
    </row>
    <row r="78" spans="1:3" x14ac:dyDescent="0.25">
      <c r="A78" t="s">
        <v>68</v>
      </c>
      <c r="B78" t="s">
        <v>13</v>
      </c>
      <c r="C78" t="s">
        <v>13</v>
      </c>
    </row>
    <row r="79" spans="1:3" x14ac:dyDescent="0.25">
      <c r="A79" t="s">
        <v>69</v>
      </c>
      <c r="B79" t="s">
        <v>4</v>
      </c>
      <c r="C79" t="s">
        <v>11</v>
      </c>
    </row>
    <row r="80" spans="1:3" x14ac:dyDescent="0.25">
      <c r="A80" t="s">
        <v>69</v>
      </c>
      <c r="B80" t="s">
        <v>4</v>
      </c>
      <c r="C80" t="s">
        <v>11</v>
      </c>
    </row>
    <row r="81" spans="1:3" x14ac:dyDescent="0.25">
      <c r="A81" t="s">
        <v>69</v>
      </c>
      <c r="B81" t="s">
        <v>4</v>
      </c>
      <c r="C81" t="s">
        <v>11</v>
      </c>
    </row>
    <row r="82" spans="1:3" x14ac:dyDescent="0.25">
      <c r="A82" t="s">
        <v>69</v>
      </c>
      <c r="B82" t="s">
        <v>4</v>
      </c>
      <c r="C82" t="s">
        <v>11</v>
      </c>
    </row>
    <row r="83" spans="1:3" x14ac:dyDescent="0.25">
      <c r="A83" t="s">
        <v>69</v>
      </c>
      <c r="B83" t="s">
        <v>4</v>
      </c>
      <c r="C83" t="s">
        <v>19</v>
      </c>
    </row>
    <row r="84" spans="1:3" x14ac:dyDescent="0.25">
      <c r="A84" t="s">
        <v>70</v>
      </c>
      <c r="B84" t="s">
        <v>13</v>
      </c>
      <c r="C84" t="s">
        <v>13</v>
      </c>
    </row>
    <row r="85" spans="1:3" x14ac:dyDescent="0.25">
      <c r="A85" t="s">
        <v>71</v>
      </c>
      <c r="B85" t="s">
        <v>13</v>
      </c>
      <c r="C85" t="s">
        <v>13</v>
      </c>
    </row>
    <row r="86" spans="1:3" x14ac:dyDescent="0.25">
      <c r="A86" t="s">
        <v>72</v>
      </c>
      <c r="B86" t="s">
        <v>42</v>
      </c>
      <c r="C86" t="s">
        <v>42</v>
      </c>
    </row>
    <row r="87" spans="1:3" x14ac:dyDescent="0.25">
      <c r="A87" t="s">
        <v>73</v>
      </c>
      <c r="B87" t="s">
        <v>13</v>
      </c>
      <c r="C87" t="s">
        <v>13</v>
      </c>
    </row>
    <row r="88" spans="1:3" x14ac:dyDescent="0.25">
      <c r="A88" t="s">
        <v>74</v>
      </c>
      <c r="B88" t="s">
        <v>13</v>
      </c>
      <c r="C88" t="s">
        <v>13</v>
      </c>
    </row>
    <row r="89" spans="1:3" x14ac:dyDescent="0.25">
      <c r="A89" t="s">
        <v>75</v>
      </c>
      <c r="B89" t="s">
        <v>13</v>
      </c>
      <c r="C89" t="s">
        <v>13</v>
      </c>
    </row>
    <row r="90" spans="1:3" x14ac:dyDescent="0.25">
      <c r="A90" t="s">
        <v>76</v>
      </c>
      <c r="B90" t="s">
        <v>13</v>
      </c>
      <c r="C90" t="s">
        <v>13</v>
      </c>
    </row>
    <row r="91" spans="1:3" x14ac:dyDescent="0.25">
      <c r="A91" t="s">
        <v>77</v>
      </c>
      <c r="B91" t="s">
        <v>13</v>
      </c>
      <c r="C91" t="s">
        <v>13</v>
      </c>
    </row>
    <row r="92" spans="1:3" x14ac:dyDescent="0.25">
      <c r="A92" t="s">
        <v>78</v>
      </c>
      <c r="B92" t="s">
        <v>13</v>
      </c>
      <c r="C92" t="s">
        <v>13</v>
      </c>
    </row>
    <row r="93" spans="1:3" x14ac:dyDescent="0.25">
      <c r="A93" t="s">
        <v>79</v>
      </c>
      <c r="B93" t="s">
        <v>4</v>
      </c>
      <c r="C93" t="s">
        <v>11</v>
      </c>
    </row>
    <row r="94" spans="1:3" x14ac:dyDescent="0.25">
      <c r="A94" t="s">
        <v>80</v>
      </c>
      <c r="B94" t="s">
        <v>13</v>
      </c>
      <c r="C94" t="s">
        <v>13</v>
      </c>
    </row>
    <row r="95" spans="1:3" x14ac:dyDescent="0.25">
      <c r="A95" t="s">
        <v>81</v>
      </c>
      <c r="B95" t="s">
        <v>13</v>
      </c>
      <c r="C95" t="s">
        <v>13</v>
      </c>
    </row>
    <row r="96" spans="1:3" x14ac:dyDescent="0.25">
      <c r="A96" t="s">
        <v>82</v>
      </c>
      <c r="B96" t="s">
        <v>13</v>
      </c>
      <c r="C96" t="s">
        <v>13</v>
      </c>
    </row>
    <row r="97" spans="1:3" x14ac:dyDescent="0.25">
      <c r="A97" t="s">
        <v>83</v>
      </c>
      <c r="B97" t="s">
        <v>42</v>
      </c>
      <c r="C97" t="s">
        <v>42</v>
      </c>
    </row>
    <row r="98" spans="1:3" x14ac:dyDescent="0.25">
      <c r="A98" t="s">
        <v>84</v>
      </c>
      <c r="B98" t="s">
        <v>4</v>
      </c>
      <c r="C98" t="s">
        <v>19</v>
      </c>
    </row>
    <row r="99" spans="1:3" x14ac:dyDescent="0.25">
      <c r="A99" t="s">
        <v>84</v>
      </c>
      <c r="B99" t="s">
        <v>4</v>
      </c>
      <c r="C99" t="s">
        <v>19</v>
      </c>
    </row>
    <row r="100" spans="1:3" x14ac:dyDescent="0.25">
      <c r="A100" t="s">
        <v>84</v>
      </c>
      <c r="B100" t="s">
        <v>4</v>
      </c>
      <c r="C100" t="s">
        <v>19</v>
      </c>
    </row>
    <row r="101" spans="1:3" x14ac:dyDescent="0.25">
      <c r="A101" t="s">
        <v>84</v>
      </c>
      <c r="B101" t="s">
        <v>4</v>
      </c>
      <c r="C101" t="s">
        <v>19</v>
      </c>
    </row>
    <row r="102" spans="1:3" x14ac:dyDescent="0.25">
      <c r="A102" t="s">
        <v>84</v>
      </c>
      <c r="B102" t="s">
        <v>4</v>
      </c>
      <c r="C102" t="s">
        <v>19</v>
      </c>
    </row>
    <row r="103" spans="1:3" x14ac:dyDescent="0.25">
      <c r="A103" t="s">
        <v>84</v>
      </c>
      <c r="B103" t="s">
        <v>4</v>
      </c>
      <c r="C103" t="s">
        <v>19</v>
      </c>
    </row>
    <row r="104" spans="1:3" x14ac:dyDescent="0.25">
      <c r="A104" t="s">
        <v>85</v>
      </c>
      <c r="B104" t="s">
        <v>13</v>
      </c>
      <c r="C104" t="s">
        <v>13</v>
      </c>
    </row>
    <row r="105" spans="1:3" x14ac:dyDescent="0.25">
      <c r="A105" t="s">
        <v>86</v>
      </c>
      <c r="B105" t="s">
        <v>13</v>
      </c>
      <c r="C105" t="s">
        <v>13</v>
      </c>
    </row>
    <row r="106" spans="1:3" x14ac:dyDescent="0.25">
      <c r="A106" t="s">
        <v>87</v>
      </c>
      <c r="B106" t="s">
        <v>13</v>
      </c>
      <c r="C106" t="s">
        <v>13</v>
      </c>
    </row>
    <row r="107" spans="1:3" x14ac:dyDescent="0.25">
      <c r="A107" t="s">
        <v>88</v>
      </c>
      <c r="B107" t="s">
        <v>13</v>
      </c>
      <c r="C107" t="s">
        <v>13</v>
      </c>
    </row>
    <row r="108" spans="1:3" x14ac:dyDescent="0.25">
      <c r="A108" t="s">
        <v>89</v>
      </c>
      <c r="B108" t="s">
        <v>4</v>
      </c>
      <c r="C108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35927-B14D-4139-8855-D5CF326412ED}">
  <dimension ref="A1:C110"/>
  <sheetViews>
    <sheetView topLeftCell="A34" workbookViewId="0"/>
  </sheetViews>
  <sheetFormatPr defaultRowHeight="15" x14ac:dyDescent="0.25"/>
  <cols>
    <col min="1" max="1" width="27.140625" bestFit="1" customWidth="1"/>
    <col min="2" max="3" width="11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19</v>
      </c>
    </row>
    <row r="3" spans="1:3" x14ac:dyDescent="0.25">
      <c r="A3" t="s">
        <v>6</v>
      </c>
      <c r="B3" t="s">
        <v>13</v>
      </c>
      <c r="C3" t="s">
        <v>13</v>
      </c>
    </row>
    <row r="4" spans="1:3" x14ac:dyDescent="0.25">
      <c r="A4" t="s">
        <v>9</v>
      </c>
      <c r="B4" t="s">
        <v>4</v>
      </c>
      <c r="C4" t="s">
        <v>19</v>
      </c>
    </row>
    <row r="5" spans="1:3" x14ac:dyDescent="0.25">
      <c r="A5" t="s">
        <v>10</v>
      </c>
      <c r="B5" t="s">
        <v>4</v>
      </c>
      <c r="C5" t="s">
        <v>5</v>
      </c>
    </row>
    <row r="6" spans="1:3" x14ac:dyDescent="0.25">
      <c r="A6" t="s">
        <v>12</v>
      </c>
      <c r="B6" t="s">
        <v>13</v>
      </c>
      <c r="C6" t="s">
        <v>13</v>
      </c>
    </row>
    <row r="7" spans="1:3" x14ac:dyDescent="0.25">
      <c r="A7" t="s">
        <v>14</v>
      </c>
      <c r="B7" t="s">
        <v>13</v>
      </c>
      <c r="C7" t="s">
        <v>13</v>
      </c>
    </row>
    <row r="8" spans="1:3" x14ac:dyDescent="0.25">
      <c r="A8" t="s">
        <v>15</v>
      </c>
      <c r="B8" t="s">
        <v>13</v>
      </c>
      <c r="C8" t="s">
        <v>13</v>
      </c>
    </row>
    <row r="9" spans="1:3" x14ac:dyDescent="0.25">
      <c r="A9" t="s">
        <v>16</v>
      </c>
      <c r="B9" t="s">
        <v>13</v>
      </c>
      <c r="C9" t="s">
        <v>13</v>
      </c>
    </row>
    <row r="10" spans="1:3" x14ac:dyDescent="0.25">
      <c r="A10" t="s">
        <v>17</v>
      </c>
      <c r="B10" t="s">
        <v>7</v>
      </c>
      <c r="C10" t="s">
        <v>19</v>
      </c>
    </row>
    <row r="11" spans="1:3" x14ac:dyDescent="0.25">
      <c r="A11" t="s">
        <v>20</v>
      </c>
      <c r="B11" t="s">
        <v>13</v>
      </c>
      <c r="C11" t="s">
        <v>13</v>
      </c>
    </row>
    <row r="12" spans="1:3" x14ac:dyDescent="0.25">
      <c r="A12" t="s">
        <v>21</v>
      </c>
      <c r="B12" t="s">
        <v>13</v>
      </c>
      <c r="C12" t="s">
        <v>13</v>
      </c>
    </row>
    <row r="13" spans="1:3" x14ac:dyDescent="0.25">
      <c r="A13" t="s">
        <v>22</v>
      </c>
      <c r="B13" t="s">
        <v>4</v>
      </c>
      <c r="C13" t="s">
        <v>11</v>
      </c>
    </row>
    <row r="14" spans="1:3" x14ac:dyDescent="0.25">
      <c r="A14" t="s">
        <v>23</v>
      </c>
      <c r="B14" t="s">
        <v>13</v>
      </c>
      <c r="C14" t="s">
        <v>13</v>
      </c>
    </row>
    <row r="15" spans="1:3" x14ac:dyDescent="0.25">
      <c r="A15" t="s">
        <v>24</v>
      </c>
      <c r="B15" t="s">
        <v>13</v>
      </c>
      <c r="C15" t="s">
        <v>13</v>
      </c>
    </row>
    <row r="16" spans="1:3" x14ac:dyDescent="0.25">
      <c r="A16" t="s">
        <v>25</v>
      </c>
      <c r="B16" t="s">
        <v>13</v>
      </c>
      <c r="C16" t="s">
        <v>13</v>
      </c>
    </row>
    <row r="17" spans="1:3" x14ac:dyDescent="0.25">
      <c r="A17" t="s">
        <v>26</v>
      </c>
      <c r="B17" t="s">
        <v>13</v>
      </c>
      <c r="C17" t="s">
        <v>13</v>
      </c>
    </row>
    <row r="18" spans="1:3" x14ac:dyDescent="0.25">
      <c r="A18" t="s">
        <v>27</v>
      </c>
      <c r="B18" t="s">
        <v>18</v>
      </c>
      <c r="C18" t="s">
        <v>126</v>
      </c>
    </row>
    <row r="19" spans="1:3" x14ac:dyDescent="0.25">
      <c r="A19" t="s">
        <v>28</v>
      </c>
      <c r="B19" t="s">
        <v>13</v>
      </c>
      <c r="C19" t="s">
        <v>13</v>
      </c>
    </row>
    <row r="20" spans="1:3" x14ac:dyDescent="0.25">
      <c r="A20" t="s">
        <v>29</v>
      </c>
      <c r="B20" t="s">
        <v>13</v>
      </c>
      <c r="C20" t="s">
        <v>13</v>
      </c>
    </row>
    <row r="21" spans="1:3" x14ac:dyDescent="0.25">
      <c r="A21" t="s">
        <v>30</v>
      </c>
      <c r="B21" t="s">
        <v>13</v>
      </c>
      <c r="C21" t="s">
        <v>13</v>
      </c>
    </row>
    <row r="22" spans="1:3" x14ac:dyDescent="0.25">
      <c r="A22" t="s">
        <v>31</v>
      </c>
      <c r="B22" t="s">
        <v>4</v>
      </c>
      <c r="C22" t="s">
        <v>5</v>
      </c>
    </row>
    <row r="23" spans="1:3" x14ac:dyDescent="0.25">
      <c r="A23" t="s">
        <v>31</v>
      </c>
      <c r="B23" t="s">
        <v>4</v>
      </c>
      <c r="C23" t="s">
        <v>19</v>
      </c>
    </row>
    <row r="24" spans="1:3" x14ac:dyDescent="0.25">
      <c r="A24" t="s">
        <v>31</v>
      </c>
      <c r="B24" t="s">
        <v>4</v>
      </c>
      <c r="C24" t="s">
        <v>19</v>
      </c>
    </row>
    <row r="25" spans="1:3" x14ac:dyDescent="0.25">
      <c r="A25" t="s">
        <v>32</v>
      </c>
      <c r="B25" t="s">
        <v>13</v>
      </c>
      <c r="C25" t="s">
        <v>13</v>
      </c>
    </row>
    <row r="26" spans="1:3" x14ac:dyDescent="0.25">
      <c r="A26" t="s">
        <v>33</v>
      </c>
      <c r="B26" t="s">
        <v>13</v>
      </c>
      <c r="C26" t="s">
        <v>13</v>
      </c>
    </row>
    <row r="27" spans="1:3" x14ac:dyDescent="0.25">
      <c r="A27" t="s">
        <v>34</v>
      </c>
      <c r="B27" t="s">
        <v>13</v>
      </c>
      <c r="C27" t="s">
        <v>13</v>
      </c>
    </row>
    <row r="28" spans="1:3" x14ac:dyDescent="0.25">
      <c r="A28" t="s">
        <v>35</v>
      </c>
      <c r="B28" t="s">
        <v>13</v>
      </c>
      <c r="C28" t="s">
        <v>13</v>
      </c>
    </row>
    <row r="29" spans="1:3" x14ac:dyDescent="0.25">
      <c r="A29" t="s">
        <v>36</v>
      </c>
      <c r="B29" t="s">
        <v>13</v>
      </c>
      <c r="C29" t="s">
        <v>13</v>
      </c>
    </row>
    <row r="30" spans="1:3" x14ac:dyDescent="0.25">
      <c r="A30" t="s">
        <v>37</v>
      </c>
      <c r="B30" t="s">
        <v>13</v>
      </c>
      <c r="C30" t="s">
        <v>13</v>
      </c>
    </row>
    <row r="31" spans="1:3" x14ac:dyDescent="0.25">
      <c r="A31" t="s">
        <v>38</v>
      </c>
      <c r="B31" t="s">
        <v>18</v>
      </c>
      <c r="C31" t="s">
        <v>5</v>
      </c>
    </row>
    <row r="32" spans="1:3" x14ac:dyDescent="0.25">
      <c r="A32" t="s">
        <v>38</v>
      </c>
      <c r="B32" t="s">
        <v>4</v>
      </c>
      <c r="C32" t="s">
        <v>8</v>
      </c>
    </row>
    <row r="33" spans="1:3" x14ac:dyDescent="0.25">
      <c r="A33" t="s">
        <v>38</v>
      </c>
      <c r="B33" t="s">
        <v>18</v>
      </c>
      <c r="C33" t="s">
        <v>8</v>
      </c>
    </row>
    <row r="34" spans="1:3" x14ac:dyDescent="0.25">
      <c r="A34" t="s">
        <v>38</v>
      </c>
      <c r="B34" t="s">
        <v>4</v>
      </c>
      <c r="C34" t="s">
        <v>8</v>
      </c>
    </row>
    <row r="35" spans="1:3" x14ac:dyDescent="0.25">
      <c r="A35" t="s">
        <v>38</v>
      </c>
      <c r="B35" t="s">
        <v>18</v>
      </c>
      <c r="C35" t="s">
        <v>8</v>
      </c>
    </row>
    <row r="36" spans="1:3" x14ac:dyDescent="0.25">
      <c r="A36" t="s">
        <v>38</v>
      </c>
      <c r="B36" t="s">
        <v>4</v>
      </c>
      <c r="C36" t="s">
        <v>8</v>
      </c>
    </row>
    <row r="37" spans="1:3" x14ac:dyDescent="0.25">
      <c r="A37" t="s">
        <v>38</v>
      </c>
      <c r="B37" t="s">
        <v>18</v>
      </c>
      <c r="C37" t="s">
        <v>8</v>
      </c>
    </row>
    <row r="38" spans="1:3" x14ac:dyDescent="0.25">
      <c r="A38" t="s">
        <v>38</v>
      </c>
      <c r="B38" t="s">
        <v>4</v>
      </c>
      <c r="C38" t="s">
        <v>8</v>
      </c>
    </row>
    <row r="39" spans="1:3" x14ac:dyDescent="0.25">
      <c r="A39" t="s">
        <v>38</v>
      </c>
      <c r="B39" t="s">
        <v>18</v>
      </c>
      <c r="C39" t="s">
        <v>8</v>
      </c>
    </row>
    <row r="40" spans="1:3" x14ac:dyDescent="0.25">
      <c r="A40" t="s">
        <v>38</v>
      </c>
      <c r="B40" t="s">
        <v>4</v>
      </c>
      <c r="C40" t="s">
        <v>8</v>
      </c>
    </row>
    <row r="41" spans="1:3" x14ac:dyDescent="0.25">
      <c r="A41" t="s">
        <v>40</v>
      </c>
      <c r="B41" t="s">
        <v>13</v>
      </c>
      <c r="C41" t="s">
        <v>13</v>
      </c>
    </row>
    <row r="42" spans="1:3" x14ac:dyDescent="0.25">
      <c r="A42" t="s">
        <v>41</v>
      </c>
      <c r="B42" t="s">
        <v>42</v>
      </c>
      <c r="C42" t="s">
        <v>42</v>
      </c>
    </row>
    <row r="43" spans="1:3" x14ac:dyDescent="0.25">
      <c r="A43" t="s">
        <v>43</v>
      </c>
      <c r="B43" t="s">
        <v>4</v>
      </c>
      <c r="C43" t="s">
        <v>5</v>
      </c>
    </row>
    <row r="44" spans="1:3" x14ac:dyDescent="0.25">
      <c r="A44" t="s">
        <v>44</v>
      </c>
      <c r="B44" t="s">
        <v>13</v>
      </c>
      <c r="C44" t="s">
        <v>13</v>
      </c>
    </row>
    <row r="45" spans="1:3" x14ac:dyDescent="0.25">
      <c r="A45" t="s">
        <v>45</v>
      </c>
      <c r="B45" t="s">
        <v>13</v>
      </c>
      <c r="C45" t="s">
        <v>13</v>
      </c>
    </row>
    <row r="46" spans="1:3" x14ac:dyDescent="0.25">
      <c r="A46" t="s">
        <v>46</v>
      </c>
      <c r="B46" t="s">
        <v>13</v>
      </c>
      <c r="C46" t="s">
        <v>13</v>
      </c>
    </row>
    <row r="47" spans="1:3" x14ac:dyDescent="0.25">
      <c r="A47" t="s">
        <v>47</v>
      </c>
      <c r="B47" t="s">
        <v>42</v>
      </c>
      <c r="C47" t="s">
        <v>42</v>
      </c>
    </row>
    <row r="48" spans="1:3" x14ac:dyDescent="0.25">
      <c r="A48" t="s">
        <v>48</v>
      </c>
      <c r="B48" t="s">
        <v>4</v>
      </c>
      <c r="C48" t="s">
        <v>19</v>
      </c>
    </row>
    <row r="49" spans="1:3" x14ac:dyDescent="0.25">
      <c r="A49" t="s">
        <v>49</v>
      </c>
      <c r="B49" t="s">
        <v>13</v>
      </c>
      <c r="C49" t="s">
        <v>13</v>
      </c>
    </row>
    <row r="50" spans="1:3" x14ac:dyDescent="0.25">
      <c r="A50" t="s">
        <v>50</v>
      </c>
      <c r="B50" t="s">
        <v>13</v>
      </c>
      <c r="C50" t="s">
        <v>13</v>
      </c>
    </row>
    <row r="51" spans="1:3" x14ac:dyDescent="0.25">
      <c r="A51" t="s">
        <v>51</v>
      </c>
      <c r="B51" t="s">
        <v>4</v>
      </c>
      <c r="C51" t="s">
        <v>19</v>
      </c>
    </row>
    <row r="52" spans="1:3" x14ac:dyDescent="0.25">
      <c r="A52" t="s">
        <v>52</v>
      </c>
      <c r="B52" t="s">
        <v>7</v>
      </c>
      <c r="C52" t="s">
        <v>19</v>
      </c>
    </row>
    <row r="53" spans="1:3" x14ac:dyDescent="0.25">
      <c r="A53" t="s">
        <v>52</v>
      </c>
      <c r="B53" t="s">
        <v>4</v>
      </c>
      <c r="C53" t="s">
        <v>19</v>
      </c>
    </row>
    <row r="54" spans="1:3" x14ac:dyDescent="0.25">
      <c r="A54" t="s">
        <v>53</v>
      </c>
      <c r="B54" t="s">
        <v>4</v>
      </c>
      <c r="C54" t="s">
        <v>5</v>
      </c>
    </row>
    <row r="55" spans="1:3" x14ac:dyDescent="0.25">
      <c r="A55" t="s">
        <v>53</v>
      </c>
      <c r="B55" t="s">
        <v>4</v>
      </c>
      <c r="C55" t="s">
        <v>5</v>
      </c>
    </row>
    <row r="56" spans="1:3" x14ac:dyDescent="0.25">
      <c r="A56" t="s">
        <v>53</v>
      </c>
      <c r="B56" t="s">
        <v>18</v>
      </c>
      <c r="C56" t="s">
        <v>19</v>
      </c>
    </row>
    <row r="57" spans="1:3" x14ac:dyDescent="0.25">
      <c r="A57" t="s">
        <v>54</v>
      </c>
      <c r="B57" t="s">
        <v>13</v>
      </c>
      <c r="C57" t="s">
        <v>13</v>
      </c>
    </row>
    <row r="58" spans="1:3" x14ac:dyDescent="0.25">
      <c r="A58" t="s">
        <v>55</v>
      </c>
      <c r="B58" t="s">
        <v>13</v>
      </c>
      <c r="C58" t="s">
        <v>13</v>
      </c>
    </row>
    <row r="59" spans="1:3" x14ac:dyDescent="0.25">
      <c r="A59" t="s">
        <v>56</v>
      </c>
      <c r="B59" t="s">
        <v>13</v>
      </c>
      <c r="C59" t="s">
        <v>13</v>
      </c>
    </row>
    <row r="60" spans="1:3" x14ac:dyDescent="0.25">
      <c r="A60" t="s">
        <v>57</v>
      </c>
      <c r="B60" t="s">
        <v>13</v>
      </c>
      <c r="C60" t="s">
        <v>13</v>
      </c>
    </row>
    <row r="61" spans="1:3" x14ac:dyDescent="0.25">
      <c r="A61" t="s">
        <v>58</v>
      </c>
      <c r="B61" t="s">
        <v>13</v>
      </c>
      <c r="C61" t="s">
        <v>13</v>
      </c>
    </row>
    <row r="62" spans="1:3" x14ac:dyDescent="0.25">
      <c r="A62" t="s">
        <v>59</v>
      </c>
      <c r="B62" t="s">
        <v>4</v>
      </c>
      <c r="C62" t="s">
        <v>129</v>
      </c>
    </row>
    <row r="63" spans="1:3" x14ac:dyDescent="0.25">
      <c r="A63" t="s">
        <v>59</v>
      </c>
      <c r="B63" t="s">
        <v>4</v>
      </c>
      <c r="C63" t="s">
        <v>19</v>
      </c>
    </row>
    <row r="64" spans="1:3" x14ac:dyDescent="0.25">
      <c r="A64" t="s">
        <v>59</v>
      </c>
      <c r="B64" t="s">
        <v>4</v>
      </c>
      <c r="C64" t="s">
        <v>19</v>
      </c>
    </row>
    <row r="65" spans="1:3" x14ac:dyDescent="0.25">
      <c r="A65" t="s">
        <v>59</v>
      </c>
      <c r="B65" t="s">
        <v>4</v>
      </c>
      <c r="C65" t="s">
        <v>8</v>
      </c>
    </row>
    <row r="66" spans="1:3" x14ac:dyDescent="0.25">
      <c r="A66" t="s">
        <v>60</v>
      </c>
      <c r="B66" t="s">
        <v>13</v>
      </c>
      <c r="C66" t="s">
        <v>13</v>
      </c>
    </row>
    <row r="67" spans="1:3" x14ac:dyDescent="0.25">
      <c r="A67" t="s">
        <v>61</v>
      </c>
      <c r="B67" t="s">
        <v>13</v>
      </c>
      <c r="C67" t="s">
        <v>13</v>
      </c>
    </row>
    <row r="68" spans="1:3" x14ac:dyDescent="0.25">
      <c r="A68" t="s">
        <v>62</v>
      </c>
      <c r="B68" t="s">
        <v>13</v>
      </c>
      <c r="C68" t="s">
        <v>13</v>
      </c>
    </row>
    <row r="69" spans="1:3" x14ac:dyDescent="0.25">
      <c r="A69" t="s">
        <v>63</v>
      </c>
      <c r="B69" t="s">
        <v>13</v>
      </c>
      <c r="C69" t="s">
        <v>13</v>
      </c>
    </row>
    <row r="70" spans="1:3" x14ac:dyDescent="0.25">
      <c r="A70" t="s">
        <v>64</v>
      </c>
      <c r="B70" t="s">
        <v>13</v>
      </c>
      <c r="C70" t="s">
        <v>13</v>
      </c>
    </row>
    <row r="71" spans="1:3" x14ac:dyDescent="0.25">
      <c r="A71" t="s">
        <v>65</v>
      </c>
      <c r="B71" t="s">
        <v>4</v>
      </c>
      <c r="C71" t="s">
        <v>11</v>
      </c>
    </row>
    <row r="72" spans="1:3" x14ac:dyDescent="0.25">
      <c r="A72" t="s">
        <v>65</v>
      </c>
      <c r="B72" t="s">
        <v>4</v>
      </c>
      <c r="C72" t="s">
        <v>126</v>
      </c>
    </row>
    <row r="73" spans="1:3" x14ac:dyDescent="0.25">
      <c r="A73" t="s">
        <v>65</v>
      </c>
      <c r="B73" t="s">
        <v>4</v>
      </c>
      <c r="C73" t="s">
        <v>126</v>
      </c>
    </row>
    <row r="74" spans="1:3" x14ac:dyDescent="0.25">
      <c r="A74" t="s">
        <v>65</v>
      </c>
      <c r="B74" t="s">
        <v>4</v>
      </c>
      <c r="C74" t="s">
        <v>19</v>
      </c>
    </row>
    <row r="75" spans="1:3" x14ac:dyDescent="0.25">
      <c r="A75" t="s">
        <v>66</v>
      </c>
      <c r="B75" t="s">
        <v>13</v>
      </c>
      <c r="C75" t="s">
        <v>13</v>
      </c>
    </row>
    <row r="76" spans="1:3" x14ac:dyDescent="0.25">
      <c r="A76" t="s">
        <v>67</v>
      </c>
      <c r="B76" t="s">
        <v>4</v>
      </c>
      <c r="C76" t="s">
        <v>5</v>
      </c>
    </row>
    <row r="77" spans="1:3" x14ac:dyDescent="0.25">
      <c r="A77" t="s">
        <v>67</v>
      </c>
      <c r="B77" t="s">
        <v>7</v>
      </c>
      <c r="C77" t="s">
        <v>19</v>
      </c>
    </row>
    <row r="78" spans="1:3" x14ac:dyDescent="0.25">
      <c r="A78" t="s">
        <v>67</v>
      </c>
      <c r="B78" t="s">
        <v>4</v>
      </c>
      <c r="C78" t="s">
        <v>19</v>
      </c>
    </row>
    <row r="79" spans="1:3" x14ac:dyDescent="0.25">
      <c r="A79" t="s">
        <v>67</v>
      </c>
      <c r="B79" t="s">
        <v>4</v>
      </c>
      <c r="C79" t="s">
        <v>8</v>
      </c>
    </row>
    <row r="80" spans="1:3" x14ac:dyDescent="0.25">
      <c r="A80" t="s">
        <v>68</v>
      </c>
      <c r="B80" t="s">
        <v>13</v>
      </c>
      <c r="C80" t="s">
        <v>13</v>
      </c>
    </row>
    <row r="81" spans="1:3" x14ac:dyDescent="0.25">
      <c r="A81" t="s">
        <v>69</v>
      </c>
      <c r="B81" t="s">
        <v>4</v>
      </c>
      <c r="C81" t="s">
        <v>11</v>
      </c>
    </row>
    <row r="82" spans="1:3" x14ac:dyDescent="0.25">
      <c r="A82" t="s">
        <v>69</v>
      </c>
      <c r="B82" t="s">
        <v>4</v>
      </c>
      <c r="C82" t="s">
        <v>11</v>
      </c>
    </row>
    <row r="83" spans="1:3" x14ac:dyDescent="0.25">
      <c r="A83" t="s">
        <v>69</v>
      </c>
      <c r="B83" t="s">
        <v>4</v>
      </c>
      <c r="C83" t="s">
        <v>11</v>
      </c>
    </row>
    <row r="84" spans="1:3" x14ac:dyDescent="0.25">
      <c r="A84" t="s">
        <v>69</v>
      </c>
      <c r="B84" t="s">
        <v>4</v>
      </c>
      <c r="C84" t="s">
        <v>11</v>
      </c>
    </row>
    <row r="85" spans="1:3" x14ac:dyDescent="0.25">
      <c r="A85" t="s">
        <v>69</v>
      </c>
      <c r="B85" t="s">
        <v>4</v>
      </c>
      <c r="C85" t="s">
        <v>19</v>
      </c>
    </row>
    <row r="86" spans="1:3" x14ac:dyDescent="0.25">
      <c r="A86" t="s">
        <v>70</v>
      </c>
      <c r="B86" t="s">
        <v>13</v>
      </c>
      <c r="C86" t="s">
        <v>13</v>
      </c>
    </row>
    <row r="87" spans="1:3" x14ac:dyDescent="0.25">
      <c r="A87" t="s">
        <v>71</v>
      </c>
      <c r="B87" t="s">
        <v>13</v>
      </c>
      <c r="C87" t="s">
        <v>13</v>
      </c>
    </row>
    <row r="88" spans="1:3" x14ac:dyDescent="0.25">
      <c r="A88" t="s">
        <v>72</v>
      </c>
      <c r="B88" t="s">
        <v>42</v>
      </c>
      <c r="C88" t="s">
        <v>42</v>
      </c>
    </row>
    <row r="89" spans="1:3" x14ac:dyDescent="0.25">
      <c r="A89" t="s">
        <v>73</v>
      </c>
      <c r="B89" t="s">
        <v>13</v>
      </c>
      <c r="C89" t="s">
        <v>13</v>
      </c>
    </row>
    <row r="90" spans="1:3" x14ac:dyDescent="0.25">
      <c r="A90" t="s">
        <v>74</v>
      </c>
      <c r="B90" t="s">
        <v>13</v>
      </c>
      <c r="C90" t="s">
        <v>13</v>
      </c>
    </row>
    <row r="91" spans="1:3" x14ac:dyDescent="0.25">
      <c r="A91" t="s">
        <v>75</v>
      </c>
      <c r="B91" t="s">
        <v>13</v>
      </c>
      <c r="C91" t="s">
        <v>13</v>
      </c>
    </row>
    <row r="92" spans="1:3" x14ac:dyDescent="0.25">
      <c r="A92" t="s">
        <v>76</v>
      </c>
      <c r="B92" t="s">
        <v>13</v>
      </c>
      <c r="C92" t="s">
        <v>13</v>
      </c>
    </row>
    <row r="93" spans="1:3" x14ac:dyDescent="0.25">
      <c r="A93" t="s">
        <v>77</v>
      </c>
      <c r="B93" t="s">
        <v>13</v>
      </c>
      <c r="C93" t="s">
        <v>13</v>
      </c>
    </row>
    <row r="94" spans="1:3" x14ac:dyDescent="0.25">
      <c r="A94" t="s">
        <v>78</v>
      </c>
      <c r="B94" t="s">
        <v>13</v>
      </c>
      <c r="C94" t="s">
        <v>13</v>
      </c>
    </row>
    <row r="95" spans="1:3" x14ac:dyDescent="0.25">
      <c r="A95" t="s">
        <v>79</v>
      </c>
      <c r="B95" t="s">
        <v>4</v>
      </c>
      <c r="C95" t="s">
        <v>11</v>
      </c>
    </row>
    <row r="96" spans="1:3" x14ac:dyDescent="0.25">
      <c r="A96" t="s">
        <v>80</v>
      </c>
      <c r="B96" t="s">
        <v>13</v>
      </c>
      <c r="C96" t="s">
        <v>13</v>
      </c>
    </row>
    <row r="97" spans="1:3" x14ac:dyDescent="0.25">
      <c r="A97" t="s">
        <v>81</v>
      </c>
      <c r="B97" t="s">
        <v>13</v>
      </c>
      <c r="C97" t="s">
        <v>13</v>
      </c>
    </row>
    <row r="98" spans="1:3" x14ac:dyDescent="0.25">
      <c r="A98" t="s">
        <v>82</v>
      </c>
      <c r="B98" t="s">
        <v>13</v>
      </c>
      <c r="C98" t="s">
        <v>13</v>
      </c>
    </row>
    <row r="99" spans="1:3" x14ac:dyDescent="0.25">
      <c r="A99" t="s">
        <v>83</v>
      </c>
      <c r="B99" t="s">
        <v>42</v>
      </c>
      <c r="C99" t="s">
        <v>42</v>
      </c>
    </row>
    <row r="100" spans="1:3" x14ac:dyDescent="0.25">
      <c r="A100" t="s">
        <v>84</v>
      </c>
      <c r="B100" t="s">
        <v>4</v>
      </c>
      <c r="C100" t="s">
        <v>19</v>
      </c>
    </row>
    <row r="101" spans="1:3" x14ac:dyDescent="0.25">
      <c r="A101" t="s">
        <v>84</v>
      </c>
      <c r="B101" t="s">
        <v>4</v>
      </c>
      <c r="C101" t="s">
        <v>19</v>
      </c>
    </row>
    <row r="102" spans="1:3" x14ac:dyDescent="0.25">
      <c r="A102" t="s">
        <v>84</v>
      </c>
      <c r="B102" t="s">
        <v>4</v>
      </c>
      <c r="C102" t="s">
        <v>19</v>
      </c>
    </row>
    <row r="103" spans="1:3" x14ac:dyDescent="0.25">
      <c r="A103" t="s">
        <v>84</v>
      </c>
      <c r="B103" t="s">
        <v>4</v>
      </c>
      <c r="C103" t="s">
        <v>19</v>
      </c>
    </row>
    <row r="104" spans="1:3" x14ac:dyDescent="0.25">
      <c r="A104" t="s">
        <v>84</v>
      </c>
      <c r="B104" t="s">
        <v>4</v>
      </c>
      <c r="C104" t="s">
        <v>19</v>
      </c>
    </row>
    <row r="105" spans="1:3" x14ac:dyDescent="0.25">
      <c r="A105" t="s">
        <v>84</v>
      </c>
      <c r="B105" t="s">
        <v>4</v>
      </c>
      <c r="C105" t="s">
        <v>19</v>
      </c>
    </row>
    <row r="106" spans="1:3" x14ac:dyDescent="0.25">
      <c r="A106" t="s">
        <v>85</v>
      </c>
      <c r="B106" t="s">
        <v>13</v>
      </c>
      <c r="C106" t="s">
        <v>13</v>
      </c>
    </row>
    <row r="107" spans="1:3" x14ac:dyDescent="0.25">
      <c r="A107" t="s">
        <v>86</v>
      </c>
      <c r="B107" t="s">
        <v>13</v>
      </c>
      <c r="C107" t="s">
        <v>13</v>
      </c>
    </row>
    <row r="108" spans="1:3" x14ac:dyDescent="0.25">
      <c r="A108" t="s">
        <v>87</v>
      </c>
      <c r="B108" t="s">
        <v>13</v>
      </c>
      <c r="C108" t="s">
        <v>13</v>
      </c>
    </row>
    <row r="109" spans="1:3" x14ac:dyDescent="0.25">
      <c r="A109" t="s">
        <v>88</v>
      </c>
      <c r="B109" t="s">
        <v>13</v>
      </c>
      <c r="C109" t="s">
        <v>13</v>
      </c>
    </row>
    <row r="110" spans="1:3" x14ac:dyDescent="0.25">
      <c r="A110" t="s">
        <v>89</v>
      </c>
      <c r="B110" t="s">
        <v>4</v>
      </c>
      <c r="C110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0009-66BF-48C9-B7C5-910F923F490E}">
  <sheetPr codeName="Sheet3"/>
  <dimension ref="A1:Q78"/>
  <sheetViews>
    <sheetView tabSelected="1" workbookViewId="0">
      <selection activeCell="L7" sqref="L7"/>
    </sheetView>
  </sheetViews>
  <sheetFormatPr defaultColWidth="8.85546875" defaultRowHeight="15" x14ac:dyDescent="0.25"/>
  <cols>
    <col min="1" max="1" width="24.5703125" style="2" bestFit="1" customWidth="1"/>
    <col min="2" max="2" width="16.28515625" style="2" bestFit="1" customWidth="1"/>
    <col min="3" max="6" width="8.85546875" style="2" customWidth="1"/>
    <col min="7" max="8" width="8.85546875" style="2"/>
    <col min="9" max="9" width="23.140625" style="2" customWidth="1"/>
    <col min="10" max="10" width="7.85546875" style="2" bestFit="1" customWidth="1"/>
    <col min="11" max="11" width="7.42578125" style="2" bestFit="1" customWidth="1"/>
    <col min="12" max="13" width="8.28515625" style="2" customWidth="1"/>
    <col min="14" max="14" width="8.28515625" style="11" customWidth="1"/>
    <col min="15" max="17" width="8.28515625" style="2" customWidth="1"/>
    <col min="18" max="16384" width="8.85546875" style="2"/>
  </cols>
  <sheetData>
    <row r="1" spans="1:14" s="1" customFormat="1" x14ac:dyDescent="0.25">
      <c r="A1" s="4" t="s">
        <v>0</v>
      </c>
      <c r="B1" s="4" t="s">
        <v>90</v>
      </c>
      <c r="C1" s="4" t="s">
        <v>4</v>
      </c>
      <c r="D1" s="4" t="s">
        <v>7</v>
      </c>
      <c r="E1" s="4" t="s">
        <v>18</v>
      </c>
      <c r="F1" s="4" t="s">
        <v>91</v>
      </c>
    </row>
    <row r="2" spans="1:14" x14ac:dyDescent="0.25">
      <c r="A2" s="2" t="s">
        <v>3</v>
      </c>
      <c r="B2" s="2" t="s">
        <v>92</v>
      </c>
      <c r="C2" s="2">
        <f ca="1">COUNTIFS(INDIRECT("'"&amp;$I$3&amp;"'!$A:$A"), $A2, INDIRECT("'"&amp;$I$3&amp;"'!$B:$B"), C$1)</f>
        <v>1</v>
      </c>
      <c r="D2" s="2">
        <f ca="1">COUNTIFS(INDIRECT("'"&amp;$I$3&amp;"'!$A:$A"), $A2, INDIRECT("'"&amp;$I$3&amp;"'!$B:$B"), D$1)</f>
        <v>0</v>
      </c>
      <c r="E2" s="2">
        <f t="shared" ref="E2:E17" ca="1" si="0">COUNTIFS(INDIRECT("'"&amp;$I$3&amp;"'!$A:$A"), $A2, INDIRECT("'"&amp;$I$3&amp;"'!$B:$B"), E$1)</f>
        <v>0</v>
      </c>
      <c r="F2" s="2">
        <f ca="1">SUM(C2:E2)</f>
        <v>1</v>
      </c>
      <c r="I2" s="5" t="s">
        <v>111</v>
      </c>
      <c r="N2" s="2"/>
    </row>
    <row r="3" spans="1:14" x14ac:dyDescent="0.25">
      <c r="A3" s="2" t="s">
        <v>6</v>
      </c>
      <c r="B3" s="2" t="s">
        <v>92</v>
      </c>
      <c r="C3" s="2">
        <f t="shared" ref="C3:E34" ca="1" si="1">COUNTIFS(INDIRECT("'"&amp;$I$3&amp;"'!$A:$A"), $A3, INDIRECT("'"&amp;$I$3&amp;"'!$B:$B"), C$1)</f>
        <v>0</v>
      </c>
      <c r="D3" s="2">
        <f t="shared" ca="1" si="1"/>
        <v>0</v>
      </c>
      <c r="E3" s="2">
        <f t="shared" ca="1" si="0"/>
        <v>0</v>
      </c>
      <c r="F3" s="2">
        <f t="shared" ref="F3:F66" ca="1" si="2">SUM(C3:E3)</f>
        <v>0</v>
      </c>
      <c r="I3" s="10" t="s">
        <v>130</v>
      </c>
      <c r="N3" s="2"/>
    </row>
    <row r="4" spans="1:14" x14ac:dyDescent="0.25">
      <c r="A4" s="2" t="s">
        <v>9</v>
      </c>
      <c r="B4" s="2" t="s">
        <v>93</v>
      </c>
      <c r="C4" s="2">
        <f t="shared" ca="1" si="1"/>
        <v>1</v>
      </c>
      <c r="D4" s="2">
        <f t="shared" ca="1" si="1"/>
        <v>0</v>
      </c>
      <c r="E4" s="2">
        <f t="shared" ca="1" si="0"/>
        <v>0</v>
      </c>
      <c r="F4" s="2">
        <f t="shared" ca="1" si="2"/>
        <v>1</v>
      </c>
      <c r="L4" s="14" t="s">
        <v>128</v>
      </c>
      <c r="N4" s="2"/>
    </row>
    <row r="5" spans="1:14" x14ac:dyDescent="0.25">
      <c r="A5" s="2" t="s">
        <v>10</v>
      </c>
      <c r="B5" s="2" t="s">
        <v>93</v>
      </c>
      <c r="C5" s="2">
        <f t="shared" ca="1" si="1"/>
        <v>1</v>
      </c>
      <c r="D5" s="2">
        <f t="shared" ca="1" si="1"/>
        <v>0</v>
      </c>
      <c r="E5" s="2">
        <f t="shared" ca="1" si="0"/>
        <v>0</v>
      </c>
      <c r="F5" s="2">
        <f t="shared" ca="1" si="2"/>
        <v>1</v>
      </c>
      <c r="N5" s="2"/>
    </row>
    <row r="6" spans="1:14" x14ac:dyDescent="0.25">
      <c r="A6" s="2" t="s">
        <v>12</v>
      </c>
      <c r="B6" s="2" t="s">
        <v>93</v>
      </c>
      <c r="C6" s="2">
        <f t="shared" ca="1" si="1"/>
        <v>0</v>
      </c>
      <c r="D6" s="2">
        <f t="shared" ca="1" si="1"/>
        <v>0</v>
      </c>
      <c r="E6" s="2">
        <f t="shared" ca="1" si="0"/>
        <v>0</v>
      </c>
      <c r="F6" s="2">
        <f t="shared" ca="1" si="2"/>
        <v>0</v>
      </c>
      <c r="I6" s="20" t="s">
        <v>118</v>
      </c>
      <c r="J6" s="20"/>
      <c r="N6" s="2"/>
    </row>
    <row r="7" spans="1:14" x14ac:dyDescent="0.25">
      <c r="A7" s="2" t="s">
        <v>14</v>
      </c>
      <c r="B7" s="2" t="s">
        <v>94</v>
      </c>
      <c r="C7" s="2">
        <f t="shared" ca="1" si="1"/>
        <v>0</v>
      </c>
      <c r="D7" s="2">
        <f t="shared" ca="1" si="1"/>
        <v>0</v>
      </c>
      <c r="E7" s="2">
        <f t="shared" ca="1" si="0"/>
        <v>0</v>
      </c>
      <c r="F7" s="2">
        <f t="shared" ca="1" si="2"/>
        <v>0</v>
      </c>
      <c r="I7" s="8" t="s">
        <v>117</v>
      </c>
      <c r="J7" s="8" t="s">
        <v>112</v>
      </c>
      <c r="N7" s="2"/>
    </row>
    <row r="8" spans="1:14" x14ac:dyDescent="0.25">
      <c r="A8" s="2" t="s">
        <v>15</v>
      </c>
      <c r="B8" s="2" t="s">
        <v>95</v>
      </c>
      <c r="C8" s="2">
        <f t="shared" ca="1" si="1"/>
        <v>0</v>
      </c>
      <c r="D8" s="2">
        <f t="shared" ca="1" si="1"/>
        <v>0</v>
      </c>
      <c r="E8" s="2">
        <f t="shared" ca="1" si="0"/>
        <v>0</v>
      </c>
      <c r="F8" s="2">
        <f t="shared" ca="1" si="2"/>
        <v>0</v>
      </c>
      <c r="I8" s="3" t="s">
        <v>91</v>
      </c>
      <c r="J8" s="3">
        <f ca="1">SUM(F:F)</f>
        <v>52</v>
      </c>
      <c r="N8" s="2"/>
    </row>
    <row r="9" spans="1:14" x14ac:dyDescent="0.25">
      <c r="A9" s="2" t="s">
        <v>16</v>
      </c>
      <c r="B9" s="2" t="s">
        <v>95</v>
      </c>
      <c r="C9" s="2">
        <f t="shared" ca="1" si="1"/>
        <v>0</v>
      </c>
      <c r="D9" s="2">
        <f t="shared" ca="1" si="1"/>
        <v>0</v>
      </c>
      <c r="E9" s="2">
        <f t="shared" ca="1" si="0"/>
        <v>0</v>
      </c>
      <c r="F9" s="2">
        <f t="shared" ca="1" si="2"/>
        <v>0</v>
      </c>
      <c r="I9" s="3" t="s">
        <v>4</v>
      </c>
      <c r="J9" s="3">
        <f ca="1">SUM(C:C)</f>
        <v>42</v>
      </c>
      <c r="N9" s="2"/>
    </row>
    <row r="10" spans="1:14" x14ac:dyDescent="0.25">
      <c r="A10" s="2" t="s">
        <v>17</v>
      </c>
      <c r="B10" s="2" t="s">
        <v>92</v>
      </c>
      <c r="C10" s="2">
        <f t="shared" ca="1" si="1"/>
        <v>0</v>
      </c>
      <c r="D10" s="2">
        <f t="shared" ca="1" si="1"/>
        <v>1</v>
      </c>
      <c r="E10" s="2">
        <f t="shared" ca="1" si="0"/>
        <v>0</v>
      </c>
      <c r="F10" s="2">
        <f t="shared" ca="1" si="2"/>
        <v>1</v>
      </c>
      <c r="I10" s="3" t="s">
        <v>7</v>
      </c>
      <c r="J10" s="3">
        <f ca="1">SUM(D:D)</f>
        <v>3</v>
      </c>
      <c r="N10" s="2"/>
    </row>
    <row r="11" spans="1:14" x14ac:dyDescent="0.25">
      <c r="A11" s="2" t="s">
        <v>20</v>
      </c>
      <c r="B11" s="2" t="s">
        <v>94</v>
      </c>
      <c r="C11" s="2">
        <f t="shared" ca="1" si="1"/>
        <v>0</v>
      </c>
      <c r="D11" s="2">
        <f t="shared" ca="1" si="1"/>
        <v>0</v>
      </c>
      <c r="E11" s="2">
        <f t="shared" ca="1" si="0"/>
        <v>0</v>
      </c>
      <c r="F11" s="2">
        <f t="shared" ca="1" si="2"/>
        <v>0</v>
      </c>
      <c r="I11" s="3" t="s">
        <v>18</v>
      </c>
      <c r="J11" s="3">
        <f ca="1">SUM(E:E)</f>
        <v>7</v>
      </c>
    </row>
    <row r="12" spans="1:14" x14ac:dyDescent="0.25">
      <c r="A12" s="2" t="s">
        <v>21</v>
      </c>
      <c r="B12" s="2" t="s">
        <v>96</v>
      </c>
      <c r="C12" s="2">
        <f t="shared" ca="1" si="1"/>
        <v>0</v>
      </c>
      <c r="D12" s="2">
        <f t="shared" ca="1" si="1"/>
        <v>0</v>
      </c>
      <c r="E12" s="2">
        <f t="shared" ca="1" si="0"/>
        <v>0</v>
      </c>
      <c r="F12" s="2">
        <f t="shared" ca="1" si="2"/>
        <v>0</v>
      </c>
    </row>
    <row r="13" spans="1:14" x14ac:dyDescent="0.25">
      <c r="A13" s="2" t="s">
        <v>22</v>
      </c>
      <c r="B13" s="2" t="s">
        <v>97</v>
      </c>
      <c r="C13" s="2">
        <f t="shared" ca="1" si="1"/>
        <v>1</v>
      </c>
      <c r="D13" s="2">
        <f t="shared" ca="1" si="1"/>
        <v>0</v>
      </c>
      <c r="E13" s="2">
        <f t="shared" ca="1" si="0"/>
        <v>0</v>
      </c>
      <c r="F13" s="2">
        <f t="shared" ca="1" si="2"/>
        <v>1</v>
      </c>
    </row>
    <row r="14" spans="1:14" x14ac:dyDescent="0.25">
      <c r="A14" s="2" t="s">
        <v>23</v>
      </c>
      <c r="B14" s="2" t="s">
        <v>98</v>
      </c>
      <c r="C14" s="2">
        <f t="shared" ca="1" si="1"/>
        <v>0</v>
      </c>
      <c r="D14" s="2">
        <f t="shared" ca="1" si="1"/>
        <v>0</v>
      </c>
      <c r="E14" s="2">
        <f t="shared" ca="1" si="0"/>
        <v>0</v>
      </c>
      <c r="F14" s="2">
        <f t="shared" ca="1" si="2"/>
        <v>0</v>
      </c>
      <c r="I14" s="20" t="s">
        <v>119</v>
      </c>
      <c r="J14" s="20"/>
      <c r="K14" s="20"/>
    </row>
    <row r="15" spans="1:14" x14ac:dyDescent="0.25">
      <c r="A15" s="2" t="s">
        <v>24</v>
      </c>
      <c r="B15" s="2" t="s">
        <v>98</v>
      </c>
      <c r="C15" s="2">
        <f t="shared" ca="1" si="1"/>
        <v>0</v>
      </c>
      <c r="D15" s="2">
        <f t="shared" ca="1" si="1"/>
        <v>0</v>
      </c>
      <c r="E15" s="2">
        <f t="shared" ca="1" si="0"/>
        <v>0</v>
      </c>
      <c r="F15" s="2">
        <f t="shared" ca="1" si="2"/>
        <v>0</v>
      </c>
      <c r="I15" s="9" t="s">
        <v>117</v>
      </c>
      <c r="J15" s="8" t="s">
        <v>112</v>
      </c>
      <c r="K15" s="8" t="s">
        <v>113</v>
      </c>
    </row>
    <row r="16" spans="1:14" x14ac:dyDescent="0.25">
      <c r="A16" s="2" t="s">
        <v>25</v>
      </c>
      <c r="B16" s="2" t="s">
        <v>98</v>
      </c>
      <c r="C16" s="2">
        <f t="shared" ca="1" si="1"/>
        <v>0</v>
      </c>
      <c r="D16" s="2">
        <f t="shared" ca="1" si="1"/>
        <v>0</v>
      </c>
      <c r="E16" s="2">
        <f t="shared" ca="1" si="0"/>
        <v>0</v>
      </c>
      <c r="F16" s="2">
        <f t="shared" ca="1" si="2"/>
        <v>0</v>
      </c>
      <c r="I16" s="3" t="s">
        <v>120</v>
      </c>
      <c r="J16" s="3">
        <f ca="1">COUNTIF(F:F, "&gt;=1")</f>
        <v>20</v>
      </c>
      <c r="K16" s="6">
        <f ca="1">J16/(COUNTA(A:A)-2)</f>
        <v>0.26315789473684209</v>
      </c>
    </row>
    <row r="17" spans="1:17" x14ac:dyDescent="0.25">
      <c r="A17" s="2" t="s">
        <v>26</v>
      </c>
      <c r="B17" s="2" t="s">
        <v>99</v>
      </c>
      <c r="C17" s="2">
        <f t="shared" ca="1" si="1"/>
        <v>0</v>
      </c>
      <c r="D17" s="2">
        <f t="shared" ca="1" si="1"/>
        <v>0</v>
      </c>
      <c r="E17" s="2">
        <f t="shared" ca="1" si="0"/>
        <v>0</v>
      </c>
      <c r="F17" s="2">
        <f t="shared" ca="1" si="2"/>
        <v>0</v>
      </c>
      <c r="I17" s="3" t="s">
        <v>114</v>
      </c>
      <c r="J17" s="3">
        <f ca="1">COUNTIF(C:C, "&gt;=1")</f>
        <v>18</v>
      </c>
      <c r="K17" s="6">
        <f ca="1">J17/(COUNTA(A:A)-2)</f>
        <v>0.23684210526315788</v>
      </c>
    </row>
    <row r="18" spans="1:17" x14ac:dyDescent="0.25">
      <c r="A18" s="2" t="s">
        <v>27</v>
      </c>
      <c r="B18" s="2" t="s">
        <v>98</v>
      </c>
      <c r="C18" s="2">
        <f t="shared" ca="1" si="1"/>
        <v>0</v>
      </c>
      <c r="D18" s="2">
        <f t="shared" ca="1" si="1"/>
        <v>0</v>
      </c>
      <c r="E18" s="2">
        <f t="shared" ca="1" si="1"/>
        <v>1</v>
      </c>
      <c r="F18" s="2">
        <f t="shared" ca="1" si="2"/>
        <v>1</v>
      </c>
      <c r="I18" s="3" t="s">
        <v>116</v>
      </c>
      <c r="J18" s="3">
        <f ca="1">COUNTIF(E:E, "&gt;=1")</f>
        <v>3</v>
      </c>
      <c r="K18" s="6">
        <f t="shared" ref="K18" ca="1" si="3">J18/(COUNTA(A:A)-2)</f>
        <v>3.9473684210526314E-2</v>
      </c>
    </row>
    <row r="19" spans="1:17" x14ac:dyDescent="0.25">
      <c r="A19" s="2" t="s">
        <v>28</v>
      </c>
      <c r="B19" s="2" t="s">
        <v>100</v>
      </c>
      <c r="C19" s="2">
        <f t="shared" ca="1" si="1"/>
        <v>0</v>
      </c>
      <c r="D19" s="2">
        <f t="shared" ca="1" si="1"/>
        <v>0</v>
      </c>
      <c r="E19" s="2">
        <f t="shared" ca="1" si="1"/>
        <v>0</v>
      </c>
      <c r="F19" s="2">
        <f t="shared" ca="1" si="2"/>
        <v>0</v>
      </c>
      <c r="I19" s="3" t="s">
        <v>115</v>
      </c>
      <c r="J19" s="3">
        <f ca="1">COUNTIF(D:D, "&gt;=1")</f>
        <v>3</v>
      </c>
      <c r="K19" s="6">
        <f ca="1">J19/(COUNTA(A:A)-2)</f>
        <v>3.9473684210526314E-2</v>
      </c>
    </row>
    <row r="20" spans="1:17" x14ac:dyDescent="0.25">
      <c r="A20" s="2" t="s">
        <v>29</v>
      </c>
      <c r="B20" s="2" t="s">
        <v>92</v>
      </c>
      <c r="C20" s="2">
        <f t="shared" ca="1" si="1"/>
        <v>0</v>
      </c>
      <c r="D20" s="2">
        <f t="shared" ca="1" si="1"/>
        <v>0</v>
      </c>
      <c r="E20" s="2">
        <f t="shared" ca="1" si="1"/>
        <v>0</v>
      </c>
      <c r="F20" s="2">
        <f t="shared" ca="1" si="2"/>
        <v>0</v>
      </c>
      <c r="K20" s="11"/>
      <c r="N20" s="2"/>
    </row>
    <row r="21" spans="1:17" x14ac:dyDescent="0.25">
      <c r="A21" s="2" t="s">
        <v>30</v>
      </c>
      <c r="B21" s="2" t="s">
        <v>101</v>
      </c>
      <c r="C21" s="2">
        <f t="shared" ca="1" si="1"/>
        <v>0</v>
      </c>
      <c r="D21" s="2">
        <f t="shared" ca="1" si="1"/>
        <v>0</v>
      </c>
      <c r="E21" s="2">
        <f t="shared" ca="1" si="1"/>
        <v>0</v>
      </c>
      <c r="F21" s="2">
        <f t="shared" ca="1" si="2"/>
        <v>0</v>
      </c>
      <c r="H21" s="13"/>
      <c r="I21" s="14" t="s">
        <v>123</v>
      </c>
      <c r="K21" s="11"/>
      <c r="N21" s="2"/>
    </row>
    <row r="22" spans="1:17" x14ac:dyDescent="0.25">
      <c r="A22" s="2" t="s">
        <v>31</v>
      </c>
      <c r="B22" s="2" t="s">
        <v>94</v>
      </c>
      <c r="C22" s="2">
        <f t="shared" ca="1" si="1"/>
        <v>3</v>
      </c>
      <c r="D22" s="2">
        <f t="shared" ca="1" si="1"/>
        <v>0</v>
      </c>
      <c r="E22" s="2">
        <f t="shared" ca="1" si="1"/>
        <v>0</v>
      </c>
      <c r="F22" s="2">
        <f t="shared" ca="1" si="2"/>
        <v>3</v>
      </c>
      <c r="I22" s="8" t="s">
        <v>121</v>
      </c>
      <c r="K22" s="11"/>
      <c r="N22" s="2"/>
    </row>
    <row r="23" spans="1:17" x14ac:dyDescent="0.25">
      <c r="A23" s="2" t="s">
        <v>32</v>
      </c>
      <c r="B23" s="2" t="s">
        <v>98</v>
      </c>
      <c r="C23" s="2">
        <f t="shared" ca="1" si="1"/>
        <v>0</v>
      </c>
      <c r="D23" s="2">
        <f t="shared" ca="1" si="1"/>
        <v>0</v>
      </c>
      <c r="E23" s="2">
        <f t="shared" ca="1" si="1"/>
        <v>0</v>
      </c>
      <c r="F23" s="2">
        <f t="shared" ca="1" si="2"/>
        <v>0</v>
      </c>
      <c r="I23" s="7" t="s">
        <v>122</v>
      </c>
      <c r="J23" s="12">
        <v>43958</v>
      </c>
      <c r="K23" s="12">
        <v>43965</v>
      </c>
      <c r="L23" s="12">
        <v>43972</v>
      </c>
      <c r="M23" s="12">
        <v>43979</v>
      </c>
      <c r="N23" s="12">
        <v>43986</v>
      </c>
      <c r="O23" s="12">
        <v>43993</v>
      </c>
      <c r="P23" s="12">
        <v>44000</v>
      </c>
      <c r="Q23" s="12">
        <v>44007</v>
      </c>
    </row>
    <row r="24" spans="1:17" x14ac:dyDescent="0.25">
      <c r="A24" s="2" t="s">
        <v>33</v>
      </c>
      <c r="B24" s="2" t="s">
        <v>96</v>
      </c>
      <c r="C24" s="2">
        <f t="shared" ca="1" si="1"/>
        <v>0</v>
      </c>
      <c r="D24" s="2">
        <f t="shared" ca="1" si="1"/>
        <v>0</v>
      </c>
      <c r="E24" s="2">
        <f t="shared" ca="1" si="1"/>
        <v>0</v>
      </c>
      <c r="F24" s="2">
        <f t="shared" ca="1" si="2"/>
        <v>0</v>
      </c>
      <c r="I24" s="7" t="s">
        <v>125</v>
      </c>
      <c r="J24" s="19">
        <v>0.13157894736842105</v>
      </c>
      <c r="K24" s="15">
        <v>0.46052631578947367</v>
      </c>
      <c r="L24" s="19">
        <v>0.26315789473684209</v>
      </c>
      <c r="M24" s="3"/>
      <c r="N24" s="16"/>
      <c r="O24" s="3"/>
      <c r="P24" s="3"/>
      <c r="Q24" s="3"/>
    </row>
    <row r="25" spans="1:17" x14ac:dyDescent="0.25">
      <c r="A25" s="2" t="s">
        <v>34</v>
      </c>
      <c r="B25" s="2" t="s">
        <v>96</v>
      </c>
      <c r="C25" s="2">
        <f t="shared" ca="1" si="1"/>
        <v>0</v>
      </c>
      <c r="D25" s="2">
        <f t="shared" ca="1" si="1"/>
        <v>0</v>
      </c>
      <c r="E25" s="2">
        <f t="shared" ca="1" si="1"/>
        <v>0</v>
      </c>
      <c r="F25" s="2">
        <f t="shared" ca="1" si="2"/>
        <v>0</v>
      </c>
      <c r="I25" s="7" t="s">
        <v>124</v>
      </c>
      <c r="J25" s="3"/>
      <c r="K25" s="17">
        <f>IFERROR((K24-J24)/J24,"")</f>
        <v>2.5000000000000004</v>
      </c>
      <c r="L25" s="17">
        <f>IFERROR((L24-K24)/K24,"")</f>
        <v>-0.4285714285714286</v>
      </c>
      <c r="M25" s="17">
        <f>IFERROR((M24-L24)/L24,"")</f>
        <v>-1</v>
      </c>
      <c r="N25" s="17" t="str">
        <f t="shared" ref="N25:Q25" si="4">IFERROR((N24-M24)/M24,"")</f>
        <v/>
      </c>
      <c r="O25" s="17" t="str">
        <f t="shared" si="4"/>
        <v/>
      </c>
      <c r="P25" s="17" t="str">
        <f>IFERROR((P24-O24)/O24,"")</f>
        <v/>
      </c>
      <c r="Q25" s="17" t="str">
        <f t="shared" si="4"/>
        <v/>
      </c>
    </row>
    <row r="26" spans="1:17" x14ac:dyDescent="0.25">
      <c r="A26" s="2" t="s">
        <v>35</v>
      </c>
      <c r="B26" s="2" t="s">
        <v>94</v>
      </c>
      <c r="C26" s="2">
        <f t="shared" ca="1" si="1"/>
        <v>0</v>
      </c>
      <c r="D26" s="2">
        <f t="shared" ca="1" si="1"/>
        <v>0</v>
      </c>
      <c r="E26" s="2">
        <f t="shared" ca="1" si="1"/>
        <v>0</v>
      </c>
      <c r="F26" s="2">
        <f t="shared" ca="1" si="2"/>
        <v>0</v>
      </c>
    </row>
    <row r="27" spans="1:17" x14ac:dyDescent="0.25">
      <c r="A27" s="2" t="s">
        <v>36</v>
      </c>
      <c r="B27" s="2" t="s">
        <v>94</v>
      </c>
      <c r="C27" s="2">
        <f t="shared" ca="1" si="1"/>
        <v>0</v>
      </c>
      <c r="D27" s="2">
        <f t="shared" ca="1" si="1"/>
        <v>0</v>
      </c>
      <c r="E27" s="2">
        <f t="shared" ca="1" si="1"/>
        <v>0</v>
      </c>
      <c r="F27" s="2">
        <f t="shared" ca="1" si="2"/>
        <v>0</v>
      </c>
    </row>
    <row r="28" spans="1:17" x14ac:dyDescent="0.25">
      <c r="A28" s="2" t="s">
        <v>37</v>
      </c>
      <c r="B28" s="2" t="s">
        <v>97</v>
      </c>
      <c r="C28" s="2">
        <f t="shared" ca="1" si="1"/>
        <v>0</v>
      </c>
      <c r="D28" s="2">
        <f t="shared" ca="1" si="1"/>
        <v>0</v>
      </c>
      <c r="E28" s="2">
        <f t="shared" ca="1" si="1"/>
        <v>0</v>
      </c>
      <c r="F28" s="2">
        <f t="shared" ca="1" si="2"/>
        <v>0</v>
      </c>
    </row>
    <row r="29" spans="1:17" x14ac:dyDescent="0.25">
      <c r="A29" s="2" t="s">
        <v>38</v>
      </c>
      <c r="B29" s="2" t="s">
        <v>95</v>
      </c>
      <c r="C29" s="2">
        <f t="shared" ca="1" si="1"/>
        <v>5</v>
      </c>
      <c r="D29" s="2">
        <f t="shared" ca="1" si="1"/>
        <v>0</v>
      </c>
      <c r="E29" s="2">
        <f t="shared" ca="1" si="1"/>
        <v>5</v>
      </c>
      <c r="F29" s="2">
        <f t="shared" ca="1" si="2"/>
        <v>10</v>
      </c>
    </row>
    <row r="30" spans="1:17" x14ac:dyDescent="0.25">
      <c r="A30" s="2" t="s">
        <v>40</v>
      </c>
      <c r="B30" s="2" t="s">
        <v>95</v>
      </c>
      <c r="C30" s="2">
        <f t="shared" ca="1" si="1"/>
        <v>0</v>
      </c>
      <c r="D30" s="2">
        <f t="shared" ca="1" si="1"/>
        <v>0</v>
      </c>
      <c r="E30" s="2">
        <f t="shared" ca="1" si="1"/>
        <v>0</v>
      </c>
      <c r="F30" s="2">
        <f t="shared" ca="1" si="2"/>
        <v>0</v>
      </c>
    </row>
    <row r="31" spans="1:17" x14ac:dyDescent="0.25">
      <c r="A31" s="2" t="s">
        <v>41</v>
      </c>
      <c r="B31" s="2" t="s">
        <v>94</v>
      </c>
      <c r="C31" s="2">
        <f t="shared" ca="1" si="1"/>
        <v>0</v>
      </c>
      <c r="D31" s="2">
        <f t="shared" ca="1" si="1"/>
        <v>0</v>
      </c>
      <c r="E31" s="2">
        <f t="shared" ca="1" si="1"/>
        <v>0</v>
      </c>
      <c r="F31" s="2">
        <f t="shared" ca="1" si="2"/>
        <v>0</v>
      </c>
    </row>
    <row r="32" spans="1:17" x14ac:dyDescent="0.25">
      <c r="A32" s="2" t="s">
        <v>43</v>
      </c>
      <c r="B32" s="2" t="s">
        <v>96</v>
      </c>
      <c r="C32" s="2">
        <f t="shared" ca="1" si="1"/>
        <v>1</v>
      </c>
      <c r="D32" s="2">
        <f t="shared" ca="1" si="1"/>
        <v>0</v>
      </c>
      <c r="E32" s="2">
        <f t="shared" ca="1" si="1"/>
        <v>0</v>
      </c>
      <c r="F32" s="2">
        <f t="shared" ca="1" si="2"/>
        <v>1</v>
      </c>
    </row>
    <row r="33" spans="1:6" x14ac:dyDescent="0.25">
      <c r="A33" s="2" t="s">
        <v>44</v>
      </c>
      <c r="B33" s="2" t="s">
        <v>98</v>
      </c>
      <c r="C33" s="2">
        <f t="shared" ca="1" si="1"/>
        <v>0</v>
      </c>
      <c r="D33" s="2">
        <f t="shared" ca="1" si="1"/>
        <v>0</v>
      </c>
      <c r="E33" s="2">
        <f t="shared" ca="1" si="1"/>
        <v>0</v>
      </c>
      <c r="F33" s="2">
        <f t="shared" ca="1" si="2"/>
        <v>0</v>
      </c>
    </row>
    <row r="34" spans="1:6" x14ac:dyDescent="0.25">
      <c r="A34" s="2" t="s">
        <v>45</v>
      </c>
      <c r="B34" s="2" t="s">
        <v>94</v>
      </c>
      <c r="C34" s="2">
        <f t="shared" ca="1" si="1"/>
        <v>0</v>
      </c>
      <c r="D34" s="2">
        <f t="shared" ca="1" si="1"/>
        <v>0</v>
      </c>
      <c r="E34" s="2">
        <f t="shared" ca="1" si="1"/>
        <v>0</v>
      </c>
      <c r="F34" s="2">
        <f t="shared" ca="1" si="2"/>
        <v>0</v>
      </c>
    </row>
    <row r="35" spans="1:6" x14ac:dyDescent="0.25">
      <c r="A35" s="2" t="s">
        <v>46</v>
      </c>
      <c r="B35" s="2" t="s">
        <v>93</v>
      </c>
      <c r="C35" s="2">
        <f t="shared" ref="C35:E78" ca="1" si="5">COUNTIFS(INDIRECT("'"&amp;$I$3&amp;"'!$A:$A"), $A35, INDIRECT("'"&amp;$I$3&amp;"'!$B:$B"), C$1)</f>
        <v>0</v>
      </c>
      <c r="D35" s="2">
        <f t="shared" ca="1" si="5"/>
        <v>0</v>
      </c>
      <c r="E35" s="2">
        <f t="shared" ca="1" si="5"/>
        <v>0</v>
      </c>
      <c r="F35" s="2">
        <f t="shared" ca="1" si="2"/>
        <v>0</v>
      </c>
    </row>
    <row r="36" spans="1:6" x14ac:dyDescent="0.25">
      <c r="A36" s="2" t="s">
        <v>47</v>
      </c>
      <c r="B36" s="2" t="s">
        <v>100</v>
      </c>
      <c r="C36" s="2">
        <f t="shared" ca="1" si="5"/>
        <v>0</v>
      </c>
      <c r="D36" s="2">
        <f t="shared" ca="1" si="5"/>
        <v>0</v>
      </c>
      <c r="E36" s="2">
        <f t="shared" ca="1" si="5"/>
        <v>0</v>
      </c>
      <c r="F36" s="2">
        <f t="shared" ca="1" si="2"/>
        <v>0</v>
      </c>
    </row>
    <row r="37" spans="1:6" x14ac:dyDescent="0.25">
      <c r="A37" s="2" t="s">
        <v>48</v>
      </c>
      <c r="B37" s="2" t="s">
        <v>102</v>
      </c>
      <c r="C37" s="2">
        <f t="shared" ca="1" si="5"/>
        <v>1</v>
      </c>
      <c r="D37" s="2">
        <f t="shared" ca="1" si="5"/>
        <v>0</v>
      </c>
      <c r="E37" s="2">
        <f t="shared" ca="1" si="5"/>
        <v>0</v>
      </c>
      <c r="F37" s="2">
        <f t="shared" ca="1" si="2"/>
        <v>1</v>
      </c>
    </row>
    <row r="38" spans="1:6" x14ac:dyDescent="0.25">
      <c r="A38" s="2" t="s">
        <v>49</v>
      </c>
      <c r="B38" s="2" t="s">
        <v>98</v>
      </c>
      <c r="C38" s="2">
        <f t="shared" ca="1" si="5"/>
        <v>0</v>
      </c>
      <c r="D38" s="2">
        <f t="shared" ca="1" si="5"/>
        <v>0</v>
      </c>
      <c r="E38" s="2">
        <f t="shared" ca="1" si="5"/>
        <v>0</v>
      </c>
      <c r="F38" s="2">
        <f t="shared" ca="1" si="2"/>
        <v>0</v>
      </c>
    </row>
    <row r="39" spans="1:6" x14ac:dyDescent="0.25">
      <c r="A39" s="2" t="s">
        <v>50</v>
      </c>
      <c r="B39" s="2" t="s">
        <v>98</v>
      </c>
      <c r="C39" s="2">
        <f t="shared" ca="1" si="5"/>
        <v>0</v>
      </c>
      <c r="D39" s="2">
        <f t="shared" ca="1" si="5"/>
        <v>0</v>
      </c>
      <c r="E39" s="2">
        <f t="shared" ca="1" si="5"/>
        <v>0</v>
      </c>
      <c r="F39" s="2">
        <f t="shared" ca="1" si="2"/>
        <v>0</v>
      </c>
    </row>
    <row r="40" spans="1:6" x14ac:dyDescent="0.25">
      <c r="A40" s="2" t="s">
        <v>51</v>
      </c>
      <c r="B40" s="2" t="s">
        <v>102</v>
      </c>
      <c r="C40" s="2">
        <f t="shared" ca="1" si="5"/>
        <v>1</v>
      </c>
      <c r="D40" s="2">
        <f t="shared" ca="1" si="5"/>
        <v>0</v>
      </c>
      <c r="E40" s="2">
        <f t="shared" ca="1" si="5"/>
        <v>0</v>
      </c>
      <c r="F40" s="2">
        <f t="shared" ca="1" si="2"/>
        <v>1</v>
      </c>
    </row>
    <row r="41" spans="1:6" x14ac:dyDescent="0.25">
      <c r="A41" s="2" t="s">
        <v>52</v>
      </c>
      <c r="B41" s="2" t="s">
        <v>103</v>
      </c>
      <c r="C41" s="2">
        <f t="shared" ca="1" si="5"/>
        <v>1</v>
      </c>
      <c r="D41" s="2">
        <f t="shared" ca="1" si="5"/>
        <v>1</v>
      </c>
      <c r="E41" s="2">
        <f t="shared" ca="1" si="5"/>
        <v>0</v>
      </c>
      <c r="F41" s="2">
        <f t="shared" ca="1" si="2"/>
        <v>2</v>
      </c>
    </row>
    <row r="42" spans="1:6" x14ac:dyDescent="0.25">
      <c r="A42" s="2" t="s">
        <v>53</v>
      </c>
      <c r="B42" s="2" t="s">
        <v>95</v>
      </c>
      <c r="C42" s="2">
        <f t="shared" ca="1" si="5"/>
        <v>2</v>
      </c>
      <c r="D42" s="2">
        <f t="shared" ca="1" si="5"/>
        <v>0</v>
      </c>
      <c r="E42" s="2">
        <f t="shared" ca="1" si="5"/>
        <v>1</v>
      </c>
      <c r="F42" s="2">
        <f t="shared" ca="1" si="2"/>
        <v>3</v>
      </c>
    </row>
    <row r="43" spans="1:6" x14ac:dyDescent="0.25">
      <c r="A43" s="2" t="s">
        <v>54</v>
      </c>
      <c r="B43" s="2" t="s">
        <v>102</v>
      </c>
      <c r="C43" s="2">
        <f t="shared" ca="1" si="5"/>
        <v>0</v>
      </c>
      <c r="D43" s="2">
        <f t="shared" ca="1" si="5"/>
        <v>0</v>
      </c>
      <c r="E43" s="2">
        <f t="shared" ca="1" si="5"/>
        <v>0</v>
      </c>
      <c r="F43" s="2">
        <f t="shared" ca="1" si="2"/>
        <v>0</v>
      </c>
    </row>
    <row r="44" spans="1:6" x14ac:dyDescent="0.25">
      <c r="A44" s="2" t="s">
        <v>55</v>
      </c>
      <c r="B44" s="2" t="s">
        <v>102</v>
      </c>
      <c r="C44" s="2">
        <f t="shared" ca="1" si="5"/>
        <v>0</v>
      </c>
      <c r="D44" s="2">
        <f t="shared" ca="1" si="5"/>
        <v>0</v>
      </c>
      <c r="E44" s="2">
        <f t="shared" ca="1" si="5"/>
        <v>0</v>
      </c>
      <c r="F44" s="2">
        <f t="shared" ca="1" si="2"/>
        <v>0</v>
      </c>
    </row>
    <row r="45" spans="1:6" x14ac:dyDescent="0.25">
      <c r="A45" s="2" t="s">
        <v>56</v>
      </c>
      <c r="B45" s="2" t="s">
        <v>96</v>
      </c>
      <c r="C45" s="2">
        <f t="shared" ca="1" si="5"/>
        <v>0</v>
      </c>
      <c r="D45" s="2">
        <f t="shared" ca="1" si="5"/>
        <v>0</v>
      </c>
      <c r="E45" s="2">
        <f t="shared" ca="1" si="5"/>
        <v>0</v>
      </c>
      <c r="F45" s="2">
        <f t="shared" ca="1" si="2"/>
        <v>0</v>
      </c>
    </row>
    <row r="46" spans="1:6" x14ac:dyDescent="0.25">
      <c r="A46" s="2" t="s">
        <v>57</v>
      </c>
      <c r="B46" s="2" t="s">
        <v>104</v>
      </c>
      <c r="C46" s="2">
        <f t="shared" ca="1" si="5"/>
        <v>0</v>
      </c>
      <c r="D46" s="2">
        <f t="shared" ca="1" si="5"/>
        <v>0</v>
      </c>
      <c r="E46" s="2">
        <f t="shared" ca="1" si="5"/>
        <v>0</v>
      </c>
      <c r="F46" s="2">
        <f t="shared" ca="1" si="2"/>
        <v>0</v>
      </c>
    </row>
    <row r="47" spans="1:6" x14ac:dyDescent="0.25">
      <c r="A47" s="2" t="s">
        <v>58</v>
      </c>
      <c r="B47" s="2" t="s">
        <v>94</v>
      </c>
      <c r="C47" s="2">
        <f t="shared" ca="1" si="5"/>
        <v>0</v>
      </c>
      <c r="D47" s="2">
        <f t="shared" ca="1" si="5"/>
        <v>0</v>
      </c>
      <c r="E47" s="2">
        <f t="shared" ca="1" si="5"/>
        <v>0</v>
      </c>
      <c r="F47" s="2">
        <f t="shared" ca="1" si="2"/>
        <v>0</v>
      </c>
    </row>
    <row r="48" spans="1:6" x14ac:dyDescent="0.25">
      <c r="A48" s="2" t="s">
        <v>59</v>
      </c>
      <c r="B48" s="2" t="s">
        <v>97</v>
      </c>
      <c r="C48" s="2">
        <f t="shared" ca="1" si="5"/>
        <v>4</v>
      </c>
      <c r="D48" s="2">
        <f t="shared" ca="1" si="5"/>
        <v>0</v>
      </c>
      <c r="E48" s="2">
        <f t="shared" ca="1" si="5"/>
        <v>0</v>
      </c>
      <c r="F48" s="2">
        <f t="shared" ca="1" si="2"/>
        <v>4</v>
      </c>
    </row>
    <row r="49" spans="1:6" x14ac:dyDescent="0.25">
      <c r="A49" s="2" t="s">
        <v>60</v>
      </c>
      <c r="B49" s="2" t="s">
        <v>98</v>
      </c>
      <c r="C49" s="2">
        <f t="shared" ca="1" si="5"/>
        <v>0</v>
      </c>
      <c r="D49" s="2">
        <f t="shared" ca="1" si="5"/>
        <v>0</v>
      </c>
      <c r="E49" s="2">
        <f t="shared" ca="1" si="5"/>
        <v>0</v>
      </c>
      <c r="F49" s="2">
        <f t="shared" ca="1" si="2"/>
        <v>0</v>
      </c>
    </row>
    <row r="50" spans="1:6" x14ac:dyDescent="0.25">
      <c r="A50" s="2" t="s">
        <v>61</v>
      </c>
      <c r="B50" s="2" t="s">
        <v>96</v>
      </c>
      <c r="C50" s="2">
        <f t="shared" ca="1" si="5"/>
        <v>0</v>
      </c>
      <c r="D50" s="2">
        <f t="shared" ca="1" si="5"/>
        <v>0</v>
      </c>
      <c r="E50" s="2">
        <f t="shared" ca="1" si="5"/>
        <v>0</v>
      </c>
      <c r="F50" s="2">
        <f t="shared" ca="1" si="2"/>
        <v>0</v>
      </c>
    </row>
    <row r="51" spans="1:6" x14ac:dyDescent="0.25">
      <c r="A51" s="2" t="s">
        <v>62</v>
      </c>
      <c r="B51" s="2" t="s">
        <v>102</v>
      </c>
      <c r="C51" s="2">
        <f t="shared" ca="1" si="5"/>
        <v>0</v>
      </c>
      <c r="D51" s="2">
        <f t="shared" ca="1" si="5"/>
        <v>0</v>
      </c>
      <c r="E51" s="2">
        <f t="shared" ca="1" si="5"/>
        <v>0</v>
      </c>
      <c r="F51" s="2">
        <f t="shared" ca="1" si="2"/>
        <v>0</v>
      </c>
    </row>
    <row r="52" spans="1:6" x14ac:dyDescent="0.25">
      <c r="A52" s="2" t="s">
        <v>63</v>
      </c>
      <c r="B52" s="2" t="s">
        <v>105</v>
      </c>
      <c r="C52" s="2">
        <f t="shared" ca="1" si="5"/>
        <v>0</v>
      </c>
      <c r="D52" s="2">
        <f t="shared" ca="1" si="5"/>
        <v>0</v>
      </c>
      <c r="E52" s="2">
        <f t="shared" ca="1" si="5"/>
        <v>0</v>
      </c>
      <c r="F52" s="2">
        <f t="shared" ca="1" si="2"/>
        <v>0</v>
      </c>
    </row>
    <row r="53" spans="1:6" x14ac:dyDescent="0.25">
      <c r="A53" s="2" t="s">
        <v>64</v>
      </c>
      <c r="B53" s="2" t="s">
        <v>100</v>
      </c>
      <c r="C53" s="2">
        <f t="shared" ca="1" si="5"/>
        <v>0</v>
      </c>
      <c r="D53" s="2">
        <f t="shared" ca="1" si="5"/>
        <v>0</v>
      </c>
      <c r="E53" s="2">
        <f t="shared" ca="1" si="5"/>
        <v>0</v>
      </c>
      <c r="F53" s="2">
        <f t="shared" ca="1" si="2"/>
        <v>0</v>
      </c>
    </row>
    <row r="54" spans="1:6" x14ac:dyDescent="0.25">
      <c r="A54" s="2" t="s">
        <v>65</v>
      </c>
      <c r="B54" s="2" t="s">
        <v>96</v>
      </c>
      <c r="C54" s="2">
        <f t="shared" ca="1" si="5"/>
        <v>4</v>
      </c>
      <c r="D54" s="2">
        <f t="shared" ca="1" si="5"/>
        <v>0</v>
      </c>
      <c r="E54" s="2">
        <f t="shared" ca="1" si="5"/>
        <v>0</v>
      </c>
      <c r="F54" s="2">
        <f t="shared" ca="1" si="2"/>
        <v>4</v>
      </c>
    </row>
    <row r="55" spans="1:6" x14ac:dyDescent="0.25">
      <c r="A55" s="2" t="s">
        <v>66</v>
      </c>
      <c r="B55" s="2" t="s">
        <v>96</v>
      </c>
      <c r="C55" s="2">
        <f t="shared" ca="1" si="5"/>
        <v>0</v>
      </c>
      <c r="D55" s="2">
        <f t="shared" ca="1" si="5"/>
        <v>0</v>
      </c>
      <c r="E55" s="2">
        <f t="shared" ca="1" si="5"/>
        <v>0</v>
      </c>
      <c r="F55" s="2">
        <f t="shared" ca="1" si="2"/>
        <v>0</v>
      </c>
    </row>
    <row r="56" spans="1:6" x14ac:dyDescent="0.25">
      <c r="A56" s="2" t="s">
        <v>67</v>
      </c>
      <c r="B56" s="2" t="s">
        <v>98</v>
      </c>
      <c r="C56" s="2">
        <f t="shared" ca="1" si="5"/>
        <v>3</v>
      </c>
      <c r="D56" s="2">
        <f t="shared" ca="1" si="5"/>
        <v>1</v>
      </c>
      <c r="E56" s="2">
        <f t="shared" ca="1" si="5"/>
        <v>0</v>
      </c>
      <c r="F56" s="2">
        <f t="shared" ca="1" si="2"/>
        <v>4</v>
      </c>
    </row>
    <row r="57" spans="1:6" x14ac:dyDescent="0.25">
      <c r="A57" s="2" t="s">
        <v>68</v>
      </c>
      <c r="B57" s="2" t="s">
        <v>102</v>
      </c>
      <c r="C57" s="2">
        <f t="shared" ca="1" si="5"/>
        <v>0</v>
      </c>
      <c r="D57" s="2">
        <f t="shared" ca="1" si="5"/>
        <v>0</v>
      </c>
      <c r="E57" s="2">
        <f t="shared" ca="1" si="5"/>
        <v>0</v>
      </c>
      <c r="F57" s="2">
        <f t="shared" ca="1" si="2"/>
        <v>0</v>
      </c>
    </row>
    <row r="58" spans="1:6" x14ac:dyDescent="0.25">
      <c r="A58" s="2" t="s">
        <v>69</v>
      </c>
      <c r="B58" s="2" t="s">
        <v>96</v>
      </c>
      <c r="C58" s="2">
        <f t="shared" ca="1" si="5"/>
        <v>5</v>
      </c>
      <c r="D58" s="2">
        <f t="shared" ca="1" si="5"/>
        <v>0</v>
      </c>
      <c r="E58" s="2">
        <f t="shared" ca="1" si="5"/>
        <v>0</v>
      </c>
      <c r="F58" s="2">
        <f t="shared" ca="1" si="2"/>
        <v>5</v>
      </c>
    </row>
    <row r="59" spans="1:6" x14ac:dyDescent="0.25">
      <c r="A59" s="2" t="s">
        <v>70</v>
      </c>
      <c r="B59" s="2" t="s">
        <v>100</v>
      </c>
      <c r="C59" s="2">
        <f t="shared" ca="1" si="5"/>
        <v>0</v>
      </c>
      <c r="D59" s="2">
        <f t="shared" ca="1" si="5"/>
        <v>0</v>
      </c>
      <c r="E59" s="2">
        <f t="shared" ca="1" si="5"/>
        <v>0</v>
      </c>
      <c r="F59" s="2">
        <f t="shared" ca="1" si="2"/>
        <v>0</v>
      </c>
    </row>
    <row r="60" spans="1:6" x14ac:dyDescent="0.25">
      <c r="A60" s="2" t="s">
        <v>71</v>
      </c>
      <c r="B60" s="2" t="s">
        <v>106</v>
      </c>
      <c r="C60" s="2">
        <f t="shared" ca="1" si="5"/>
        <v>0</v>
      </c>
      <c r="D60" s="2">
        <f t="shared" ca="1" si="5"/>
        <v>0</v>
      </c>
      <c r="E60" s="2">
        <f t="shared" ca="1" si="5"/>
        <v>0</v>
      </c>
      <c r="F60" s="2">
        <f t="shared" ca="1" si="2"/>
        <v>0</v>
      </c>
    </row>
    <row r="61" spans="1:6" x14ac:dyDescent="0.25">
      <c r="A61" s="2" t="s">
        <v>72</v>
      </c>
      <c r="B61" s="2" t="s">
        <v>94</v>
      </c>
      <c r="C61" s="2">
        <f t="shared" ca="1" si="5"/>
        <v>0</v>
      </c>
      <c r="D61" s="2">
        <f t="shared" ca="1" si="5"/>
        <v>0</v>
      </c>
      <c r="E61" s="2">
        <f t="shared" ca="1" si="5"/>
        <v>0</v>
      </c>
      <c r="F61" s="2">
        <f t="shared" ca="1" si="2"/>
        <v>0</v>
      </c>
    </row>
    <row r="62" spans="1:6" x14ac:dyDescent="0.25">
      <c r="A62" s="2" t="s">
        <v>73</v>
      </c>
      <c r="B62" s="2" t="s">
        <v>102</v>
      </c>
      <c r="C62" s="2">
        <f t="shared" ca="1" si="5"/>
        <v>0</v>
      </c>
      <c r="D62" s="2">
        <f t="shared" ca="1" si="5"/>
        <v>0</v>
      </c>
      <c r="E62" s="2">
        <f t="shared" ca="1" si="5"/>
        <v>0</v>
      </c>
      <c r="F62" s="2">
        <f t="shared" ca="1" si="2"/>
        <v>0</v>
      </c>
    </row>
    <row r="63" spans="1:6" x14ac:dyDescent="0.25">
      <c r="A63" s="2" t="s">
        <v>74</v>
      </c>
      <c r="B63" s="2" t="s">
        <v>96</v>
      </c>
      <c r="C63" s="2">
        <f t="shared" ca="1" si="5"/>
        <v>0</v>
      </c>
      <c r="D63" s="2">
        <f t="shared" ca="1" si="5"/>
        <v>0</v>
      </c>
      <c r="E63" s="2">
        <f t="shared" ca="1" si="5"/>
        <v>0</v>
      </c>
      <c r="F63" s="2">
        <f t="shared" ca="1" si="2"/>
        <v>0</v>
      </c>
    </row>
    <row r="64" spans="1:6" x14ac:dyDescent="0.25">
      <c r="A64" s="2" t="s">
        <v>75</v>
      </c>
      <c r="B64" s="2" t="s">
        <v>102</v>
      </c>
      <c r="C64" s="2">
        <f t="shared" ca="1" si="5"/>
        <v>0</v>
      </c>
      <c r="D64" s="2">
        <f t="shared" ca="1" si="5"/>
        <v>0</v>
      </c>
      <c r="E64" s="2">
        <f t="shared" ca="1" si="5"/>
        <v>0</v>
      </c>
      <c r="F64" s="2">
        <f t="shared" ca="1" si="2"/>
        <v>0</v>
      </c>
    </row>
    <row r="65" spans="1:6" x14ac:dyDescent="0.25">
      <c r="A65" s="2" t="s">
        <v>76</v>
      </c>
      <c r="B65" s="2" t="s">
        <v>98</v>
      </c>
      <c r="C65" s="2">
        <f t="shared" ca="1" si="5"/>
        <v>0</v>
      </c>
      <c r="D65" s="2">
        <f t="shared" ca="1" si="5"/>
        <v>0</v>
      </c>
      <c r="E65" s="2">
        <f t="shared" ca="1" si="5"/>
        <v>0</v>
      </c>
      <c r="F65" s="2">
        <f t="shared" ca="1" si="2"/>
        <v>0</v>
      </c>
    </row>
    <row r="66" spans="1:6" x14ac:dyDescent="0.25">
      <c r="A66" s="2" t="s">
        <v>77</v>
      </c>
      <c r="B66" s="2" t="s">
        <v>96</v>
      </c>
      <c r="C66" s="2">
        <f t="shared" ca="1" si="5"/>
        <v>0</v>
      </c>
      <c r="D66" s="2">
        <f t="shared" ca="1" si="5"/>
        <v>0</v>
      </c>
      <c r="E66" s="2">
        <f t="shared" ca="1" si="5"/>
        <v>0</v>
      </c>
      <c r="F66" s="2">
        <f t="shared" ca="1" si="2"/>
        <v>0</v>
      </c>
    </row>
    <row r="67" spans="1:6" x14ac:dyDescent="0.25">
      <c r="A67" s="2" t="s">
        <v>78</v>
      </c>
      <c r="B67" s="2" t="s">
        <v>94</v>
      </c>
      <c r="C67" s="2">
        <f t="shared" ca="1" si="5"/>
        <v>0</v>
      </c>
      <c r="D67" s="2">
        <f t="shared" ca="1" si="5"/>
        <v>0</v>
      </c>
      <c r="E67" s="2">
        <f t="shared" ca="1" si="5"/>
        <v>0</v>
      </c>
      <c r="F67" s="2">
        <f t="shared" ref="F67:F78" ca="1" si="6">SUM(C67:E67)</f>
        <v>0</v>
      </c>
    </row>
    <row r="68" spans="1:6" x14ac:dyDescent="0.25">
      <c r="A68" s="2" t="s">
        <v>79</v>
      </c>
      <c r="B68" s="2" t="s">
        <v>94</v>
      </c>
      <c r="C68" s="2">
        <f t="shared" ca="1" si="5"/>
        <v>1</v>
      </c>
      <c r="D68" s="2">
        <f t="shared" ca="1" si="5"/>
        <v>0</v>
      </c>
      <c r="E68" s="2">
        <f t="shared" ca="1" si="5"/>
        <v>0</v>
      </c>
      <c r="F68" s="2">
        <f t="shared" ca="1" si="6"/>
        <v>1</v>
      </c>
    </row>
    <row r="69" spans="1:6" x14ac:dyDescent="0.25">
      <c r="A69" s="2" t="s">
        <v>80</v>
      </c>
      <c r="B69" s="2" t="s">
        <v>98</v>
      </c>
      <c r="C69" s="2">
        <f t="shared" ca="1" si="5"/>
        <v>0</v>
      </c>
      <c r="D69" s="2">
        <f t="shared" ca="1" si="5"/>
        <v>0</v>
      </c>
      <c r="E69" s="2">
        <f t="shared" ca="1" si="5"/>
        <v>0</v>
      </c>
      <c r="F69" s="2">
        <f t="shared" ca="1" si="6"/>
        <v>0</v>
      </c>
    </row>
    <row r="70" spans="1:6" x14ac:dyDescent="0.25">
      <c r="A70" s="2" t="s">
        <v>81</v>
      </c>
      <c r="B70" s="2" t="s">
        <v>98</v>
      </c>
      <c r="C70" s="2">
        <f t="shared" ca="1" si="5"/>
        <v>0</v>
      </c>
      <c r="D70" s="2">
        <f t="shared" ca="1" si="5"/>
        <v>0</v>
      </c>
      <c r="E70" s="2">
        <f t="shared" ca="1" si="5"/>
        <v>0</v>
      </c>
      <c r="F70" s="2">
        <f t="shared" ca="1" si="6"/>
        <v>0</v>
      </c>
    </row>
    <row r="71" spans="1:6" x14ac:dyDescent="0.25">
      <c r="A71" s="2" t="s">
        <v>82</v>
      </c>
      <c r="B71" s="2" t="s">
        <v>102</v>
      </c>
      <c r="C71" s="2">
        <f t="shared" ca="1" si="5"/>
        <v>0</v>
      </c>
      <c r="D71" s="2">
        <f t="shared" ca="1" si="5"/>
        <v>0</v>
      </c>
      <c r="E71" s="2">
        <f t="shared" ca="1" si="5"/>
        <v>0</v>
      </c>
      <c r="F71" s="2">
        <f t="shared" ca="1" si="6"/>
        <v>0</v>
      </c>
    </row>
    <row r="72" spans="1:6" x14ac:dyDescent="0.25">
      <c r="A72" s="2" t="s">
        <v>83</v>
      </c>
      <c r="B72" s="2" t="s">
        <v>102</v>
      </c>
      <c r="C72" s="2">
        <f t="shared" ca="1" si="5"/>
        <v>0</v>
      </c>
      <c r="D72" s="2">
        <f t="shared" ca="1" si="5"/>
        <v>0</v>
      </c>
      <c r="E72" s="2">
        <f t="shared" ca="1" si="5"/>
        <v>0</v>
      </c>
      <c r="F72" s="2">
        <f t="shared" ca="1" si="6"/>
        <v>0</v>
      </c>
    </row>
    <row r="73" spans="1:6" x14ac:dyDescent="0.25">
      <c r="A73" s="2" t="s">
        <v>84</v>
      </c>
      <c r="B73" s="2" t="s">
        <v>105</v>
      </c>
      <c r="C73" s="2">
        <f t="shared" ca="1" si="5"/>
        <v>6</v>
      </c>
      <c r="D73" s="2">
        <f t="shared" ca="1" si="5"/>
        <v>0</v>
      </c>
      <c r="E73" s="2">
        <f t="shared" ca="1" si="5"/>
        <v>0</v>
      </c>
      <c r="F73" s="2">
        <f t="shared" ca="1" si="6"/>
        <v>6</v>
      </c>
    </row>
    <row r="74" spans="1:6" x14ac:dyDescent="0.25">
      <c r="A74" s="2" t="s">
        <v>85</v>
      </c>
      <c r="B74" s="2" t="s">
        <v>105</v>
      </c>
      <c r="C74" s="2">
        <f t="shared" ca="1" si="5"/>
        <v>0</v>
      </c>
      <c r="D74" s="2">
        <f t="shared" ca="1" si="5"/>
        <v>0</v>
      </c>
      <c r="E74" s="2">
        <f t="shared" ca="1" si="5"/>
        <v>0</v>
      </c>
      <c r="F74" s="2">
        <f t="shared" ca="1" si="6"/>
        <v>0</v>
      </c>
    </row>
    <row r="75" spans="1:6" x14ac:dyDescent="0.25">
      <c r="A75" s="2" t="s">
        <v>86</v>
      </c>
      <c r="B75" s="2" t="s">
        <v>105</v>
      </c>
      <c r="C75" s="2">
        <f t="shared" ca="1" si="5"/>
        <v>0</v>
      </c>
      <c r="D75" s="2">
        <f t="shared" ca="1" si="5"/>
        <v>0</v>
      </c>
      <c r="E75" s="2">
        <f t="shared" ca="1" si="5"/>
        <v>0</v>
      </c>
      <c r="F75" s="2">
        <f t="shared" ca="1" si="6"/>
        <v>0</v>
      </c>
    </row>
    <row r="76" spans="1:6" x14ac:dyDescent="0.25">
      <c r="A76" s="2" t="s">
        <v>87</v>
      </c>
      <c r="B76" s="2" t="s">
        <v>95</v>
      </c>
      <c r="C76" s="2">
        <f t="shared" ca="1" si="5"/>
        <v>0</v>
      </c>
      <c r="D76" s="2">
        <f t="shared" ca="1" si="5"/>
        <v>0</v>
      </c>
      <c r="E76" s="2">
        <f t="shared" ca="1" si="5"/>
        <v>0</v>
      </c>
      <c r="F76" s="2">
        <f t="shared" ca="1" si="6"/>
        <v>0</v>
      </c>
    </row>
    <row r="77" spans="1:6" x14ac:dyDescent="0.25">
      <c r="A77" s="2" t="s">
        <v>88</v>
      </c>
      <c r="B77" s="2" t="s">
        <v>93</v>
      </c>
      <c r="C77" s="2">
        <f t="shared" ca="1" si="5"/>
        <v>0</v>
      </c>
      <c r="D77" s="2">
        <f t="shared" ca="1" si="5"/>
        <v>0</v>
      </c>
      <c r="E77" s="2">
        <f t="shared" ca="1" si="5"/>
        <v>0</v>
      </c>
      <c r="F77" s="2">
        <f t="shared" ca="1" si="6"/>
        <v>0</v>
      </c>
    </row>
    <row r="78" spans="1:6" x14ac:dyDescent="0.25">
      <c r="A78" s="2" t="s">
        <v>89</v>
      </c>
      <c r="B78" s="2" t="s">
        <v>105</v>
      </c>
      <c r="C78" s="2">
        <f t="shared" ca="1" si="5"/>
        <v>1</v>
      </c>
      <c r="D78" s="2">
        <f t="shared" ca="1" si="5"/>
        <v>0</v>
      </c>
      <c r="E78" s="2">
        <f t="shared" ca="1" si="5"/>
        <v>0</v>
      </c>
      <c r="F78" s="2">
        <f t="shared" ca="1" si="6"/>
        <v>1</v>
      </c>
    </row>
  </sheetData>
  <mergeCells count="2">
    <mergeCell ref="I6:J6"/>
    <mergeCell ref="I14:K1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A8C267-B5C8-47C7-87A2-66E240FE8D17}">
          <x14:formula1>
            <xm:f>OFFSET('List of Sheets'!$B$2,0,0,COUNTIF('List of Sheets'!$B:$B, "*")-3)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9575-409B-4B02-90E2-D9C265061817}">
  <sheetPr codeName="Sheet4"/>
  <dimension ref="A1:B29"/>
  <sheetViews>
    <sheetView workbookViewId="0">
      <selection activeCell="B2" sqref="B2:B29"/>
    </sheetView>
  </sheetViews>
  <sheetFormatPr defaultRowHeight="15" x14ac:dyDescent="0.25"/>
  <cols>
    <col min="2" max="2" width="26.42578125" customWidth="1"/>
  </cols>
  <sheetData>
    <row r="1" spans="1:2" x14ac:dyDescent="0.25">
      <c r="A1" t="s">
        <v>107</v>
      </c>
      <c r="B1" t="s">
        <v>108</v>
      </c>
    </row>
    <row r="2" spans="1:2" x14ac:dyDescent="0.25">
      <c r="A2">
        <v>1</v>
      </c>
      <c r="B2" t="str">
        <f>IFERROR(INDEX(SheetNames,A2),0)</f>
        <v>19-05-2020 11-25</v>
      </c>
    </row>
    <row r="3" spans="1:2" x14ac:dyDescent="0.25">
      <c r="A3">
        <v>2</v>
      </c>
      <c r="B3" s="18" t="str">
        <f t="shared" ref="B3:B29" si="0">IFERROR(INDEX(SheetNames,A3),0)</f>
        <v>20-05-2020 16-07</v>
      </c>
    </row>
    <row r="4" spans="1:2" x14ac:dyDescent="0.25">
      <c r="A4">
        <v>3</v>
      </c>
      <c r="B4" s="18" t="str">
        <f t="shared" si="0"/>
        <v>21-05-2020</v>
      </c>
    </row>
    <row r="5" spans="1:2" x14ac:dyDescent="0.25">
      <c r="A5">
        <v>4</v>
      </c>
      <c r="B5" s="18" t="str">
        <f t="shared" si="0"/>
        <v>21-05-2020 09-47</v>
      </c>
    </row>
    <row r="6" spans="1:2" x14ac:dyDescent="0.25">
      <c r="A6">
        <v>5</v>
      </c>
      <c r="B6" s="18" t="str">
        <f t="shared" si="0"/>
        <v>SUMMARY</v>
      </c>
    </row>
    <row r="7" spans="1:2" x14ac:dyDescent="0.25">
      <c r="A7">
        <v>6</v>
      </c>
      <c r="B7" s="18" t="str">
        <f t="shared" si="0"/>
        <v>List of Sheets</v>
      </c>
    </row>
    <row r="8" spans="1:2" x14ac:dyDescent="0.25">
      <c r="A8">
        <v>7</v>
      </c>
      <c r="B8" s="18">
        <f t="shared" si="0"/>
        <v>0</v>
      </c>
    </row>
    <row r="9" spans="1:2" x14ac:dyDescent="0.25">
      <c r="A9">
        <v>8</v>
      </c>
      <c r="B9" s="18">
        <f t="shared" si="0"/>
        <v>0</v>
      </c>
    </row>
    <row r="10" spans="1:2" x14ac:dyDescent="0.25">
      <c r="A10">
        <v>9</v>
      </c>
      <c r="B10" s="18">
        <f t="shared" si="0"/>
        <v>0</v>
      </c>
    </row>
    <row r="11" spans="1:2" x14ac:dyDescent="0.25">
      <c r="A11">
        <v>10</v>
      </c>
      <c r="B11" s="18">
        <f t="shared" si="0"/>
        <v>0</v>
      </c>
    </row>
    <row r="12" spans="1:2" x14ac:dyDescent="0.25">
      <c r="A12">
        <v>11</v>
      </c>
      <c r="B12" s="18">
        <f t="shared" si="0"/>
        <v>0</v>
      </c>
    </row>
    <row r="13" spans="1:2" x14ac:dyDescent="0.25">
      <c r="A13">
        <v>12</v>
      </c>
      <c r="B13" s="18">
        <f t="shared" si="0"/>
        <v>0</v>
      </c>
    </row>
    <row r="14" spans="1:2" x14ac:dyDescent="0.25">
      <c r="A14">
        <v>13</v>
      </c>
      <c r="B14" s="18">
        <f t="shared" si="0"/>
        <v>0</v>
      </c>
    </row>
    <row r="15" spans="1:2" x14ac:dyDescent="0.25">
      <c r="A15">
        <v>14</v>
      </c>
      <c r="B15" s="18">
        <f t="shared" si="0"/>
        <v>0</v>
      </c>
    </row>
    <row r="16" spans="1:2" x14ac:dyDescent="0.25">
      <c r="A16">
        <v>15</v>
      </c>
      <c r="B16" s="18">
        <f t="shared" si="0"/>
        <v>0</v>
      </c>
    </row>
    <row r="17" spans="1:2" x14ac:dyDescent="0.25">
      <c r="A17">
        <v>16</v>
      </c>
      <c r="B17" s="18">
        <f t="shared" si="0"/>
        <v>0</v>
      </c>
    </row>
    <row r="18" spans="1:2" x14ac:dyDescent="0.25">
      <c r="A18">
        <v>17</v>
      </c>
      <c r="B18" s="18">
        <f t="shared" si="0"/>
        <v>0</v>
      </c>
    </row>
    <row r="19" spans="1:2" x14ac:dyDescent="0.25">
      <c r="A19">
        <v>18</v>
      </c>
      <c r="B19" s="18">
        <f t="shared" si="0"/>
        <v>0</v>
      </c>
    </row>
    <row r="20" spans="1:2" x14ac:dyDescent="0.25">
      <c r="A20">
        <v>19</v>
      </c>
      <c r="B20" s="18">
        <f t="shared" si="0"/>
        <v>0</v>
      </c>
    </row>
    <row r="21" spans="1:2" x14ac:dyDescent="0.25">
      <c r="A21">
        <v>20</v>
      </c>
      <c r="B21" s="18">
        <f t="shared" si="0"/>
        <v>0</v>
      </c>
    </row>
    <row r="22" spans="1:2" x14ac:dyDescent="0.25">
      <c r="A22">
        <v>21</v>
      </c>
      <c r="B22" s="18">
        <f t="shared" si="0"/>
        <v>0</v>
      </c>
    </row>
    <row r="23" spans="1:2" x14ac:dyDescent="0.25">
      <c r="A23">
        <v>22</v>
      </c>
      <c r="B23" s="18">
        <f t="shared" si="0"/>
        <v>0</v>
      </c>
    </row>
    <row r="24" spans="1:2" x14ac:dyDescent="0.25">
      <c r="A24">
        <v>23</v>
      </c>
      <c r="B24" s="18">
        <f t="shared" si="0"/>
        <v>0</v>
      </c>
    </row>
    <row r="25" spans="1:2" x14ac:dyDescent="0.25">
      <c r="A25">
        <v>24</v>
      </c>
      <c r="B25" s="18">
        <f t="shared" si="0"/>
        <v>0</v>
      </c>
    </row>
    <row r="26" spans="1:2" x14ac:dyDescent="0.25">
      <c r="A26">
        <v>25</v>
      </c>
      <c r="B26" s="18">
        <f t="shared" si="0"/>
        <v>0</v>
      </c>
    </row>
    <row r="27" spans="1:2" x14ac:dyDescent="0.25">
      <c r="A27">
        <v>26</v>
      </c>
      <c r="B27" s="18">
        <f t="shared" si="0"/>
        <v>0</v>
      </c>
    </row>
    <row r="28" spans="1:2" x14ac:dyDescent="0.25">
      <c r="A28">
        <v>27</v>
      </c>
      <c r="B28" s="18">
        <f t="shared" si="0"/>
        <v>0</v>
      </c>
    </row>
    <row r="29" spans="1:2" x14ac:dyDescent="0.25">
      <c r="A29">
        <v>28</v>
      </c>
      <c r="B29" s="18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19-05-2020 11-25</vt:lpstr>
      <vt:lpstr>20-05-2020 16-07</vt:lpstr>
      <vt:lpstr>21-05-2020</vt:lpstr>
      <vt:lpstr>21-05-2020 09-47</vt:lpstr>
      <vt:lpstr>SUMMARY</vt:lpstr>
      <vt:lpstr>List of Sheets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Nick</cp:lastModifiedBy>
  <dcterms:created xsi:type="dcterms:W3CDTF">2020-05-06T14:10:29Z</dcterms:created>
  <dcterms:modified xsi:type="dcterms:W3CDTF">2020-05-21T07:51:12Z</dcterms:modified>
</cp:coreProperties>
</file>